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/>
  <mc:AlternateContent xmlns:mc="http://schemas.openxmlformats.org/markup-compatibility/2006">
    <mc:Choice Requires="x15">
      <x15ac:absPath xmlns:x15ac="http://schemas.microsoft.com/office/spreadsheetml/2010/11/ac" url="/Users/nicktran/Desktop/Data-Analysis/Forecasting/"/>
    </mc:Choice>
  </mc:AlternateContent>
  <xr:revisionPtr revIDLastSave="0" documentId="13_ncr:1_{B9F9DF44-B007-EC49-9010-E570686ECC5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BS Pool CF" sheetId="8" r:id="rId1"/>
    <sheet name="Individual Mortgage CF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2" i="5"/>
  <c r="P2" i="5" l="1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B2" i="5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C2" i="8"/>
  <c r="H2" i="8" s="1"/>
  <c r="B2" i="8"/>
  <c r="E2" i="8" s="1"/>
  <c r="A2" i="8"/>
  <c r="A361" i="5"/>
  <c r="A360" i="5"/>
  <c r="D360" i="5" s="1"/>
  <c r="A359" i="5"/>
  <c r="N359" i="5" s="1"/>
  <c r="A358" i="5"/>
  <c r="D358" i="5" s="1"/>
  <c r="A357" i="5"/>
  <c r="D357" i="5" s="1"/>
  <c r="A356" i="5"/>
  <c r="N356" i="5" s="1"/>
  <c r="A355" i="5"/>
  <c r="N355" i="5" s="1"/>
  <c r="A354" i="5"/>
  <c r="D354" i="5" s="1"/>
  <c r="A353" i="5"/>
  <c r="A352" i="5"/>
  <c r="D352" i="5" s="1"/>
  <c r="A351" i="5"/>
  <c r="N351" i="5" s="1"/>
  <c r="A350" i="5"/>
  <c r="D350" i="5" s="1"/>
  <c r="A349" i="5"/>
  <c r="D349" i="5" s="1"/>
  <c r="A348" i="5"/>
  <c r="N348" i="5" s="1"/>
  <c r="A347" i="5"/>
  <c r="N347" i="5" s="1"/>
  <c r="A346" i="5"/>
  <c r="D346" i="5" s="1"/>
  <c r="A345" i="5"/>
  <c r="A344" i="5"/>
  <c r="D344" i="5" s="1"/>
  <c r="A343" i="5"/>
  <c r="N343" i="5" s="1"/>
  <c r="A342" i="5"/>
  <c r="D342" i="5" s="1"/>
  <c r="A341" i="5"/>
  <c r="D341" i="5" s="1"/>
  <c r="A340" i="5"/>
  <c r="N340" i="5" s="1"/>
  <c r="A339" i="5"/>
  <c r="N339" i="5" s="1"/>
  <c r="A338" i="5"/>
  <c r="D338" i="5" s="1"/>
  <c r="A337" i="5"/>
  <c r="A336" i="5"/>
  <c r="D336" i="5" s="1"/>
  <c r="A335" i="5"/>
  <c r="N335" i="5" s="1"/>
  <c r="A334" i="5"/>
  <c r="D334" i="5" s="1"/>
  <c r="A333" i="5"/>
  <c r="D333" i="5" s="1"/>
  <c r="A332" i="5"/>
  <c r="N332" i="5" s="1"/>
  <c r="A331" i="5"/>
  <c r="N331" i="5" s="1"/>
  <c r="A330" i="5"/>
  <c r="D330" i="5" s="1"/>
  <c r="A329" i="5"/>
  <c r="A328" i="5"/>
  <c r="D328" i="5" s="1"/>
  <c r="A327" i="5"/>
  <c r="N327" i="5" s="1"/>
  <c r="A326" i="5"/>
  <c r="D326" i="5" s="1"/>
  <c r="A325" i="5"/>
  <c r="D325" i="5" s="1"/>
  <c r="A324" i="5"/>
  <c r="N324" i="5" s="1"/>
  <c r="A323" i="5"/>
  <c r="N323" i="5" s="1"/>
  <c r="A322" i="5"/>
  <c r="D322" i="5" s="1"/>
  <c r="A321" i="5"/>
  <c r="A320" i="5"/>
  <c r="N320" i="5" s="1"/>
  <c r="A319" i="5"/>
  <c r="N319" i="5" s="1"/>
  <c r="A318" i="5"/>
  <c r="D318" i="5" s="1"/>
  <c r="A317" i="5"/>
  <c r="D317" i="5" s="1"/>
  <c r="A316" i="5"/>
  <c r="N316" i="5" s="1"/>
  <c r="A315" i="5"/>
  <c r="N315" i="5" s="1"/>
  <c r="A314" i="5"/>
  <c r="A313" i="5"/>
  <c r="A312" i="5"/>
  <c r="N312" i="5" s="1"/>
  <c r="A311" i="5"/>
  <c r="N311" i="5" s="1"/>
  <c r="A310" i="5"/>
  <c r="D310" i="5" s="1"/>
  <c r="A309" i="5"/>
  <c r="A308" i="5"/>
  <c r="A307" i="5"/>
  <c r="A306" i="5"/>
  <c r="A305" i="5"/>
  <c r="A304" i="5"/>
  <c r="N304" i="5" s="1"/>
  <c r="A303" i="5"/>
  <c r="N303" i="5" s="1"/>
  <c r="A302" i="5"/>
  <c r="D302" i="5" s="1"/>
  <c r="A301" i="5"/>
  <c r="A300" i="5"/>
  <c r="A299" i="5"/>
  <c r="A298" i="5"/>
  <c r="A297" i="5"/>
  <c r="A296" i="5"/>
  <c r="A295" i="5"/>
  <c r="N295" i="5" s="1"/>
  <c r="A294" i="5"/>
  <c r="D294" i="5" s="1"/>
  <c r="A293" i="5"/>
  <c r="A292" i="5"/>
  <c r="N292" i="5" s="1"/>
  <c r="A291" i="5"/>
  <c r="A290" i="5"/>
  <c r="A289" i="5"/>
  <c r="A288" i="5"/>
  <c r="N288" i="5" s="1"/>
  <c r="A287" i="5"/>
  <c r="A286" i="5"/>
  <c r="D286" i="5" s="1"/>
  <c r="A285" i="5"/>
  <c r="A284" i="5"/>
  <c r="N284" i="5" s="1"/>
  <c r="A283" i="5"/>
  <c r="N283" i="5" s="1"/>
  <c r="A282" i="5"/>
  <c r="A281" i="5"/>
  <c r="A280" i="5"/>
  <c r="N280" i="5" s="1"/>
  <c r="A279" i="5"/>
  <c r="N279" i="5" s="1"/>
  <c r="A278" i="5"/>
  <c r="D278" i="5" s="1"/>
  <c r="A277" i="5"/>
  <c r="A276" i="5"/>
  <c r="A275" i="5"/>
  <c r="A274" i="5"/>
  <c r="A273" i="5"/>
  <c r="A272" i="5"/>
  <c r="N272" i="5" s="1"/>
  <c r="A271" i="5"/>
  <c r="N271" i="5" s="1"/>
  <c r="A270" i="5"/>
  <c r="D270" i="5" s="1"/>
  <c r="A269" i="5"/>
  <c r="A268" i="5"/>
  <c r="A267" i="5"/>
  <c r="A266" i="5"/>
  <c r="A265" i="5"/>
  <c r="A264" i="5"/>
  <c r="A263" i="5"/>
  <c r="N263" i="5" s="1"/>
  <c r="A262" i="5"/>
  <c r="D262" i="5" s="1"/>
  <c r="A261" i="5"/>
  <c r="A260" i="5"/>
  <c r="N260" i="5" s="1"/>
  <c r="A259" i="5"/>
  <c r="A258" i="5"/>
  <c r="A257" i="5"/>
  <c r="A256" i="5"/>
  <c r="N256" i="5" s="1"/>
  <c r="A255" i="5"/>
  <c r="A254" i="5"/>
  <c r="D254" i="5" s="1"/>
  <c r="A253" i="5"/>
  <c r="A252" i="5"/>
  <c r="N252" i="5" s="1"/>
  <c r="A251" i="5"/>
  <c r="N251" i="5" s="1"/>
  <c r="A250" i="5"/>
  <c r="A249" i="5"/>
  <c r="A248" i="5"/>
  <c r="N248" i="5" s="1"/>
  <c r="A247" i="5"/>
  <c r="N247" i="5" s="1"/>
  <c r="A246" i="5"/>
  <c r="D246" i="5" s="1"/>
  <c r="A245" i="5"/>
  <c r="A244" i="5"/>
  <c r="A243" i="5"/>
  <c r="A242" i="5"/>
  <c r="A241" i="5"/>
  <c r="A240" i="5"/>
  <c r="N240" i="5" s="1"/>
  <c r="A239" i="5"/>
  <c r="N239" i="5" s="1"/>
  <c r="A238" i="5"/>
  <c r="D238" i="5" s="1"/>
  <c r="A237" i="5"/>
  <c r="A236" i="5"/>
  <c r="A235" i="5"/>
  <c r="A234" i="5"/>
  <c r="A233" i="5"/>
  <c r="A232" i="5"/>
  <c r="A231" i="5"/>
  <c r="N231" i="5" s="1"/>
  <c r="A230" i="5"/>
  <c r="D230" i="5" s="1"/>
  <c r="A229" i="5"/>
  <c r="A228" i="5"/>
  <c r="N228" i="5" s="1"/>
  <c r="A227" i="5"/>
  <c r="A226" i="5"/>
  <c r="A225" i="5"/>
  <c r="A224" i="5"/>
  <c r="N224" i="5" s="1"/>
  <c r="A223" i="5"/>
  <c r="A222" i="5"/>
  <c r="D222" i="5" s="1"/>
  <c r="A221" i="5"/>
  <c r="A220" i="5"/>
  <c r="N220" i="5" s="1"/>
  <c r="A219" i="5"/>
  <c r="N219" i="5" s="1"/>
  <c r="A218" i="5"/>
  <c r="A217" i="5"/>
  <c r="A216" i="5"/>
  <c r="N216" i="5" s="1"/>
  <c r="A215" i="5"/>
  <c r="N215" i="5" s="1"/>
  <c r="A214" i="5"/>
  <c r="D214" i="5" s="1"/>
  <c r="A213" i="5"/>
  <c r="A212" i="5"/>
  <c r="A211" i="5"/>
  <c r="A210" i="5"/>
  <c r="A209" i="5"/>
  <c r="A208" i="5"/>
  <c r="N208" i="5" s="1"/>
  <c r="A207" i="5"/>
  <c r="N207" i="5" s="1"/>
  <c r="A206" i="5"/>
  <c r="D206" i="5" s="1"/>
  <c r="A205" i="5"/>
  <c r="A204" i="5"/>
  <c r="A203" i="5"/>
  <c r="A202" i="5"/>
  <c r="A201" i="5"/>
  <c r="A200" i="5"/>
  <c r="A199" i="5"/>
  <c r="N199" i="5" s="1"/>
  <c r="A198" i="5"/>
  <c r="D198" i="5" s="1"/>
  <c r="A197" i="5"/>
  <c r="A196" i="5"/>
  <c r="N196" i="5" s="1"/>
  <c r="A195" i="5"/>
  <c r="A194" i="5"/>
  <c r="A193" i="5"/>
  <c r="A192" i="5"/>
  <c r="N192" i="5" s="1"/>
  <c r="A191" i="5"/>
  <c r="A190" i="5"/>
  <c r="D190" i="5" s="1"/>
  <c r="A189" i="5"/>
  <c r="A188" i="5"/>
  <c r="N188" i="5" s="1"/>
  <c r="A187" i="5"/>
  <c r="N187" i="5" s="1"/>
  <c r="A186" i="5"/>
  <c r="A185" i="5"/>
  <c r="A184" i="5"/>
  <c r="N184" i="5" s="1"/>
  <c r="A183" i="5"/>
  <c r="N183" i="5" s="1"/>
  <c r="A182" i="5"/>
  <c r="D182" i="5" s="1"/>
  <c r="A181" i="5"/>
  <c r="A180" i="5"/>
  <c r="A179" i="5"/>
  <c r="A178" i="5"/>
  <c r="A177" i="5"/>
  <c r="A176" i="5"/>
  <c r="N176" i="5" s="1"/>
  <c r="A175" i="5"/>
  <c r="N175" i="5" s="1"/>
  <c r="A174" i="5"/>
  <c r="D174" i="5" s="1"/>
  <c r="A173" i="5"/>
  <c r="A172" i="5"/>
  <c r="A171" i="5"/>
  <c r="A170" i="5"/>
  <c r="A169" i="5"/>
  <c r="A168" i="5"/>
  <c r="A167" i="5"/>
  <c r="N167" i="5" s="1"/>
  <c r="A166" i="5"/>
  <c r="D166" i="5" s="1"/>
  <c r="A165" i="5"/>
  <c r="A164" i="5"/>
  <c r="N164" i="5" s="1"/>
  <c r="A163" i="5"/>
  <c r="A162" i="5"/>
  <c r="A161" i="5"/>
  <c r="A160" i="5"/>
  <c r="N160" i="5" s="1"/>
  <c r="A159" i="5"/>
  <c r="A158" i="5"/>
  <c r="D158" i="5" s="1"/>
  <c r="A157" i="5"/>
  <c r="A156" i="5"/>
  <c r="N156" i="5" s="1"/>
  <c r="A155" i="5"/>
  <c r="N155" i="5" s="1"/>
  <c r="A154" i="5"/>
  <c r="A153" i="5"/>
  <c r="A152" i="5"/>
  <c r="N152" i="5" s="1"/>
  <c r="A151" i="5"/>
  <c r="N151" i="5" s="1"/>
  <c r="A150" i="5"/>
  <c r="D150" i="5" s="1"/>
  <c r="A149" i="5"/>
  <c r="A148" i="5"/>
  <c r="A147" i="5"/>
  <c r="A146" i="5"/>
  <c r="A145" i="5"/>
  <c r="A144" i="5"/>
  <c r="N144" i="5" s="1"/>
  <c r="A143" i="5"/>
  <c r="N143" i="5" s="1"/>
  <c r="A142" i="5"/>
  <c r="D142" i="5" s="1"/>
  <c r="A141" i="5"/>
  <c r="A140" i="5"/>
  <c r="A139" i="5"/>
  <c r="A138" i="5"/>
  <c r="A137" i="5"/>
  <c r="A136" i="5"/>
  <c r="A135" i="5"/>
  <c r="N135" i="5" s="1"/>
  <c r="A134" i="5"/>
  <c r="D134" i="5" s="1"/>
  <c r="A133" i="5"/>
  <c r="A132" i="5"/>
  <c r="N132" i="5" s="1"/>
  <c r="A131" i="5"/>
  <c r="A130" i="5"/>
  <c r="A129" i="5"/>
  <c r="A128" i="5"/>
  <c r="N128" i="5" s="1"/>
  <c r="A127" i="5"/>
  <c r="A126" i="5"/>
  <c r="D126" i="5" s="1"/>
  <c r="A125" i="5"/>
  <c r="A124" i="5"/>
  <c r="N124" i="5" s="1"/>
  <c r="A123" i="5"/>
  <c r="N123" i="5" s="1"/>
  <c r="A122" i="5"/>
  <c r="A121" i="5"/>
  <c r="A120" i="5"/>
  <c r="N120" i="5" s="1"/>
  <c r="A119" i="5"/>
  <c r="N119" i="5" s="1"/>
  <c r="A118" i="5"/>
  <c r="D118" i="5" s="1"/>
  <c r="A117" i="5"/>
  <c r="A116" i="5"/>
  <c r="A115" i="5"/>
  <c r="A114" i="5"/>
  <c r="A113" i="5"/>
  <c r="A112" i="5"/>
  <c r="N112" i="5" s="1"/>
  <c r="A111" i="5"/>
  <c r="N111" i="5" s="1"/>
  <c r="A110" i="5"/>
  <c r="D110" i="5" s="1"/>
  <c r="A109" i="5"/>
  <c r="A108" i="5"/>
  <c r="A107" i="5"/>
  <c r="A106" i="5"/>
  <c r="A105" i="5"/>
  <c r="A104" i="5"/>
  <c r="N104" i="5" s="1"/>
  <c r="A103" i="5"/>
  <c r="A102" i="5"/>
  <c r="D102" i="5" s="1"/>
  <c r="A101" i="5"/>
  <c r="A100" i="5"/>
  <c r="N100" i="5" s="1"/>
  <c r="A99" i="5"/>
  <c r="N99" i="5" s="1"/>
  <c r="A98" i="5"/>
  <c r="A97" i="5"/>
  <c r="A96" i="5"/>
  <c r="N96" i="5" s="1"/>
  <c r="A95" i="5"/>
  <c r="N95" i="5" s="1"/>
  <c r="A94" i="5"/>
  <c r="D94" i="5" s="1"/>
  <c r="A93" i="5"/>
  <c r="A92" i="5"/>
  <c r="A91" i="5"/>
  <c r="A90" i="5"/>
  <c r="A89" i="5"/>
  <c r="A88" i="5"/>
  <c r="A87" i="5"/>
  <c r="N87" i="5" s="1"/>
  <c r="A86" i="5"/>
  <c r="D86" i="5" s="1"/>
  <c r="A85" i="5"/>
  <c r="A84" i="5"/>
  <c r="N84" i="5" s="1"/>
  <c r="A83" i="5"/>
  <c r="A82" i="5"/>
  <c r="A81" i="5"/>
  <c r="A80" i="5"/>
  <c r="N80" i="5" s="1"/>
  <c r="A79" i="5"/>
  <c r="N79" i="5" s="1"/>
  <c r="A78" i="5"/>
  <c r="D78" i="5" s="1"/>
  <c r="A77" i="5"/>
  <c r="A76" i="5"/>
  <c r="A75" i="5"/>
  <c r="N75" i="5" s="1"/>
  <c r="A74" i="5"/>
  <c r="A73" i="5"/>
  <c r="A72" i="5"/>
  <c r="N72" i="5" s="1"/>
  <c r="A71" i="5"/>
  <c r="N71" i="5" s="1"/>
  <c r="A70" i="5"/>
  <c r="D70" i="5" s="1"/>
  <c r="A69" i="5"/>
  <c r="A68" i="5"/>
  <c r="A67" i="5"/>
  <c r="A66" i="5"/>
  <c r="A65" i="5"/>
  <c r="A64" i="5"/>
  <c r="N64" i="5" s="1"/>
  <c r="A63" i="5"/>
  <c r="A62" i="5"/>
  <c r="D62" i="5" s="1"/>
  <c r="A61" i="5"/>
  <c r="A60" i="5"/>
  <c r="N60" i="5" s="1"/>
  <c r="A59" i="5"/>
  <c r="A58" i="5"/>
  <c r="A57" i="5"/>
  <c r="A56" i="5"/>
  <c r="N56" i="5" s="1"/>
  <c r="A55" i="5"/>
  <c r="N55" i="5" s="1"/>
  <c r="A54" i="5"/>
  <c r="D54" i="5" s="1"/>
  <c r="A53" i="5"/>
  <c r="A52" i="5"/>
  <c r="A51" i="5"/>
  <c r="A50" i="5"/>
  <c r="A49" i="5"/>
  <c r="A48" i="5"/>
  <c r="N48" i="5" s="1"/>
  <c r="A47" i="5"/>
  <c r="N47" i="5" s="1"/>
  <c r="A46" i="5"/>
  <c r="D46" i="5" s="1"/>
  <c r="A45" i="5"/>
  <c r="A44" i="5"/>
  <c r="A43" i="5"/>
  <c r="A42" i="5"/>
  <c r="A41" i="5"/>
  <c r="A40" i="5"/>
  <c r="N40" i="5" s="1"/>
  <c r="A39" i="5"/>
  <c r="A38" i="5"/>
  <c r="D38" i="5" s="1"/>
  <c r="A37" i="5"/>
  <c r="A36" i="5"/>
  <c r="N36" i="5" s="1"/>
  <c r="A35" i="5"/>
  <c r="N35" i="5" s="1"/>
  <c r="A34" i="5"/>
  <c r="A33" i="5"/>
  <c r="A32" i="5"/>
  <c r="N32" i="5" s="1"/>
  <c r="A31" i="5"/>
  <c r="N31" i="5" s="1"/>
  <c r="A30" i="5"/>
  <c r="D30" i="5" s="1"/>
  <c r="A29" i="5"/>
  <c r="A28" i="5"/>
  <c r="A27" i="5"/>
  <c r="A26" i="5"/>
  <c r="A25" i="5"/>
  <c r="A24" i="5"/>
  <c r="A23" i="5"/>
  <c r="N23" i="5" s="1"/>
  <c r="A22" i="5"/>
  <c r="D22" i="5" s="1"/>
  <c r="A21" i="5"/>
  <c r="A20" i="5"/>
  <c r="N20" i="5" s="1"/>
  <c r="A19" i="5"/>
  <c r="A18" i="5"/>
  <c r="A17" i="5"/>
  <c r="A16" i="5"/>
  <c r="N16" i="5" s="1"/>
  <c r="A15" i="5"/>
  <c r="N15" i="5" s="1"/>
  <c r="A14" i="5"/>
  <c r="D14" i="5" s="1"/>
  <c r="A13" i="5"/>
  <c r="A12" i="5"/>
  <c r="A11" i="5"/>
  <c r="N11" i="5" s="1"/>
  <c r="A10" i="5"/>
  <c r="A9" i="5"/>
  <c r="A8" i="5"/>
  <c r="N8" i="5" s="1"/>
  <c r="A7" i="5"/>
  <c r="N7" i="5" s="1"/>
  <c r="A6" i="5"/>
  <c r="D6" i="5" s="1"/>
  <c r="G6" i="5" s="1"/>
  <c r="A5" i="5"/>
  <c r="A4" i="5"/>
  <c r="A3" i="5"/>
  <c r="A2" i="5"/>
  <c r="F2" i="8" l="1"/>
  <c r="N262" i="5"/>
  <c r="N166" i="5"/>
  <c r="N86" i="5"/>
  <c r="N230" i="5"/>
  <c r="N134" i="5"/>
  <c r="N294" i="5"/>
  <c r="N22" i="5"/>
  <c r="N198" i="5"/>
  <c r="O2" i="5"/>
  <c r="N2" i="5"/>
  <c r="P3" i="5" s="1"/>
  <c r="N18" i="5"/>
  <c r="N10" i="5"/>
  <c r="D26" i="5"/>
  <c r="N26" i="5"/>
  <c r="D9" i="5"/>
  <c r="N9" i="5"/>
  <c r="D17" i="5"/>
  <c r="N17" i="5"/>
  <c r="D25" i="5"/>
  <c r="N25" i="5"/>
  <c r="D33" i="5"/>
  <c r="N33" i="5"/>
  <c r="D41" i="5"/>
  <c r="N41" i="5"/>
  <c r="D49" i="5"/>
  <c r="N49" i="5"/>
  <c r="D57" i="5"/>
  <c r="N57" i="5"/>
  <c r="D65" i="5"/>
  <c r="N65" i="5"/>
  <c r="D73" i="5"/>
  <c r="N73" i="5"/>
  <c r="D81" i="5"/>
  <c r="N81" i="5"/>
  <c r="D89" i="5"/>
  <c r="N89" i="5"/>
  <c r="D97" i="5"/>
  <c r="N97" i="5"/>
  <c r="D105" i="5"/>
  <c r="N105" i="5"/>
  <c r="D113" i="5"/>
  <c r="N113" i="5"/>
  <c r="D121" i="5"/>
  <c r="N121" i="5"/>
  <c r="D129" i="5"/>
  <c r="N129" i="5"/>
  <c r="D137" i="5"/>
  <c r="N137" i="5"/>
  <c r="D145" i="5"/>
  <c r="N145" i="5"/>
  <c r="D153" i="5"/>
  <c r="N153" i="5"/>
  <c r="D161" i="5"/>
  <c r="N161" i="5"/>
  <c r="D169" i="5"/>
  <c r="N169" i="5"/>
  <c r="D177" i="5"/>
  <c r="N177" i="5"/>
  <c r="D185" i="5"/>
  <c r="N185" i="5"/>
  <c r="D193" i="5"/>
  <c r="N193" i="5"/>
  <c r="D201" i="5"/>
  <c r="N201" i="5"/>
  <c r="D209" i="5"/>
  <c r="N209" i="5"/>
  <c r="D217" i="5"/>
  <c r="N217" i="5"/>
  <c r="D225" i="5"/>
  <c r="N225" i="5"/>
  <c r="D233" i="5"/>
  <c r="N233" i="5"/>
  <c r="D241" i="5"/>
  <c r="N241" i="5"/>
  <c r="D249" i="5"/>
  <c r="N249" i="5"/>
  <c r="D257" i="5"/>
  <c r="N257" i="5"/>
  <c r="D265" i="5"/>
  <c r="N265" i="5"/>
  <c r="D273" i="5"/>
  <c r="N273" i="5"/>
  <c r="D281" i="5"/>
  <c r="N281" i="5"/>
  <c r="D289" i="5"/>
  <c r="N289" i="5"/>
  <c r="D297" i="5"/>
  <c r="N297" i="5"/>
  <c r="D305" i="5"/>
  <c r="N305" i="5"/>
  <c r="D313" i="5"/>
  <c r="N313" i="5"/>
  <c r="D321" i="5"/>
  <c r="N321" i="5"/>
  <c r="D329" i="5"/>
  <c r="N329" i="5"/>
  <c r="D337" i="5"/>
  <c r="N337" i="5"/>
  <c r="D345" i="5"/>
  <c r="N345" i="5"/>
  <c r="D353" i="5"/>
  <c r="N353" i="5"/>
  <c r="D361" i="5"/>
  <c r="N361" i="5"/>
  <c r="N62" i="5"/>
  <c r="D58" i="5"/>
  <c r="N58" i="5"/>
  <c r="D106" i="5"/>
  <c r="N106" i="5"/>
  <c r="D146" i="5"/>
  <c r="N146" i="5"/>
  <c r="D186" i="5"/>
  <c r="N186" i="5"/>
  <c r="D210" i="5"/>
  <c r="N210" i="5"/>
  <c r="D258" i="5"/>
  <c r="N258" i="5"/>
  <c r="D282" i="5"/>
  <c r="N282" i="5"/>
  <c r="D314" i="5"/>
  <c r="N314" i="5"/>
  <c r="D3" i="5"/>
  <c r="D11" i="5"/>
  <c r="D19" i="5"/>
  <c r="D27" i="5"/>
  <c r="D35" i="5"/>
  <c r="D43" i="5"/>
  <c r="D51" i="5"/>
  <c r="D59" i="5"/>
  <c r="D67" i="5"/>
  <c r="D75" i="5"/>
  <c r="D83" i="5"/>
  <c r="D91" i="5"/>
  <c r="D99" i="5"/>
  <c r="D107" i="5"/>
  <c r="D115" i="5"/>
  <c r="D123" i="5"/>
  <c r="D131" i="5"/>
  <c r="D139" i="5"/>
  <c r="D147" i="5"/>
  <c r="D155" i="5"/>
  <c r="D163" i="5"/>
  <c r="D171" i="5"/>
  <c r="D179" i="5"/>
  <c r="D187" i="5"/>
  <c r="D195" i="5"/>
  <c r="D203" i="5"/>
  <c r="D211" i="5"/>
  <c r="D219" i="5"/>
  <c r="D227" i="5"/>
  <c r="D235" i="5"/>
  <c r="D243" i="5"/>
  <c r="D251" i="5"/>
  <c r="D259" i="5"/>
  <c r="D267" i="5"/>
  <c r="D275" i="5"/>
  <c r="D283" i="5"/>
  <c r="D291" i="5"/>
  <c r="D299" i="5"/>
  <c r="D307" i="5"/>
  <c r="D315" i="5"/>
  <c r="D323" i="5"/>
  <c r="D331" i="5"/>
  <c r="D339" i="5"/>
  <c r="D347" i="5"/>
  <c r="D355" i="5"/>
  <c r="N354" i="5"/>
  <c r="N346" i="5"/>
  <c r="N338" i="5"/>
  <c r="N330" i="5"/>
  <c r="N322" i="5"/>
  <c r="N110" i="5"/>
  <c r="N59" i="5"/>
  <c r="N46" i="5"/>
  <c r="D66" i="5"/>
  <c r="N66" i="5"/>
  <c r="D90" i="5"/>
  <c r="N90" i="5"/>
  <c r="D122" i="5"/>
  <c r="N122" i="5"/>
  <c r="D170" i="5"/>
  <c r="N170" i="5"/>
  <c r="D218" i="5"/>
  <c r="N218" i="5"/>
  <c r="D250" i="5"/>
  <c r="N250" i="5"/>
  <c r="D306" i="5"/>
  <c r="N306" i="5"/>
  <c r="D4" i="5"/>
  <c r="D12" i="5"/>
  <c r="D20" i="5"/>
  <c r="D28" i="5"/>
  <c r="D36" i="5"/>
  <c r="D44" i="5"/>
  <c r="D52" i="5"/>
  <c r="D60" i="5"/>
  <c r="D68" i="5"/>
  <c r="D76" i="5"/>
  <c r="D84" i="5"/>
  <c r="D92" i="5"/>
  <c r="D100" i="5"/>
  <c r="D108" i="5"/>
  <c r="D116" i="5"/>
  <c r="D124" i="5"/>
  <c r="D132" i="5"/>
  <c r="D140" i="5"/>
  <c r="D148" i="5"/>
  <c r="D156" i="5"/>
  <c r="D164" i="5"/>
  <c r="D172" i="5"/>
  <c r="D180" i="5"/>
  <c r="D188" i="5"/>
  <c r="D196" i="5"/>
  <c r="D204" i="5"/>
  <c r="D212" i="5"/>
  <c r="D220" i="5"/>
  <c r="D228" i="5"/>
  <c r="D236" i="5"/>
  <c r="D244" i="5"/>
  <c r="D252" i="5"/>
  <c r="D260" i="5"/>
  <c r="D268" i="5"/>
  <c r="D276" i="5"/>
  <c r="D284" i="5"/>
  <c r="D292" i="5"/>
  <c r="D300" i="5"/>
  <c r="D308" i="5"/>
  <c r="D316" i="5"/>
  <c r="D324" i="5"/>
  <c r="D332" i="5"/>
  <c r="D340" i="5"/>
  <c r="D348" i="5"/>
  <c r="D356" i="5"/>
  <c r="N302" i="5"/>
  <c r="N291" i="5"/>
  <c r="N270" i="5"/>
  <c r="N259" i="5"/>
  <c r="N238" i="5"/>
  <c r="N227" i="5"/>
  <c r="N206" i="5"/>
  <c r="N195" i="5"/>
  <c r="N174" i="5"/>
  <c r="N163" i="5"/>
  <c r="N142" i="5"/>
  <c r="N131" i="5"/>
  <c r="N108" i="5"/>
  <c r="N83" i="5"/>
  <c r="N70" i="5"/>
  <c r="N44" i="5"/>
  <c r="N19" i="5"/>
  <c r="N6" i="5"/>
  <c r="D50" i="5"/>
  <c r="N50" i="5"/>
  <c r="D98" i="5"/>
  <c r="N98" i="5"/>
  <c r="D138" i="5"/>
  <c r="N138" i="5"/>
  <c r="D178" i="5"/>
  <c r="N178" i="5"/>
  <c r="D226" i="5"/>
  <c r="N226" i="5"/>
  <c r="D274" i="5"/>
  <c r="N274" i="5"/>
  <c r="D5" i="5"/>
  <c r="N5" i="5"/>
  <c r="D13" i="5"/>
  <c r="N13" i="5"/>
  <c r="D21" i="5"/>
  <c r="N21" i="5"/>
  <c r="D29" i="5"/>
  <c r="N29" i="5"/>
  <c r="D37" i="5"/>
  <c r="N37" i="5"/>
  <c r="D45" i="5"/>
  <c r="N45" i="5"/>
  <c r="D53" i="5"/>
  <c r="N53" i="5"/>
  <c r="D61" i="5"/>
  <c r="N61" i="5"/>
  <c r="D69" i="5"/>
  <c r="N69" i="5"/>
  <c r="D77" i="5"/>
  <c r="N77" i="5"/>
  <c r="D85" i="5"/>
  <c r="N85" i="5"/>
  <c r="D93" i="5"/>
  <c r="N93" i="5"/>
  <c r="D101" i="5"/>
  <c r="N101" i="5"/>
  <c r="D109" i="5"/>
  <c r="N109" i="5"/>
  <c r="D117" i="5"/>
  <c r="N117" i="5"/>
  <c r="D125" i="5"/>
  <c r="N125" i="5"/>
  <c r="D133" i="5"/>
  <c r="N133" i="5"/>
  <c r="D141" i="5"/>
  <c r="N141" i="5"/>
  <c r="D149" i="5"/>
  <c r="N149" i="5"/>
  <c r="D157" i="5"/>
  <c r="N157" i="5"/>
  <c r="D165" i="5"/>
  <c r="N165" i="5"/>
  <c r="D173" i="5"/>
  <c r="N173" i="5"/>
  <c r="D181" i="5"/>
  <c r="N181" i="5"/>
  <c r="D189" i="5"/>
  <c r="N189" i="5"/>
  <c r="D197" i="5"/>
  <c r="N197" i="5"/>
  <c r="D205" i="5"/>
  <c r="N205" i="5"/>
  <c r="D213" i="5"/>
  <c r="N213" i="5"/>
  <c r="D221" i="5"/>
  <c r="N221" i="5"/>
  <c r="D229" i="5"/>
  <c r="N229" i="5"/>
  <c r="D237" i="5"/>
  <c r="N237" i="5"/>
  <c r="D245" i="5"/>
  <c r="N245" i="5"/>
  <c r="D253" i="5"/>
  <c r="N253" i="5"/>
  <c r="D261" i="5"/>
  <c r="N261" i="5"/>
  <c r="D269" i="5"/>
  <c r="N269" i="5"/>
  <c r="D277" i="5"/>
  <c r="N277" i="5"/>
  <c r="D285" i="5"/>
  <c r="N285" i="5"/>
  <c r="D293" i="5"/>
  <c r="N293" i="5"/>
  <c r="D301" i="5"/>
  <c r="N301" i="5"/>
  <c r="D309" i="5"/>
  <c r="N309" i="5"/>
  <c r="N360" i="5"/>
  <c r="N352" i="5"/>
  <c r="N344" i="5"/>
  <c r="N336" i="5"/>
  <c r="N328" i="5"/>
  <c r="N300" i="5"/>
  <c r="N268" i="5"/>
  <c r="N236" i="5"/>
  <c r="N204" i="5"/>
  <c r="N172" i="5"/>
  <c r="N140" i="5"/>
  <c r="N107" i="5"/>
  <c r="N94" i="5"/>
  <c r="N68" i="5"/>
  <c r="N43" i="5"/>
  <c r="N30" i="5"/>
  <c r="N4" i="5"/>
  <c r="D34" i="5"/>
  <c r="N34" i="5"/>
  <c r="D74" i="5"/>
  <c r="N74" i="5"/>
  <c r="D114" i="5"/>
  <c r="N114" i="5"/>
  <c r="D154" i="5"/>
  <c r="N154" i="5"/>
  <c r="D202" i="5"/>
  <c r="N202" i="5"/>
  <c r="D242" i="5"/>
  <c r="N242" i="5"/>
  <c r="D266" i="5"/>
  <c r="N266" i="5"/>
  <c r="D298" i="5"/>
  <c r="N298" i="5"/>
  <c r="N310" i="5"/>
  <c r="N299" i="5"/>
  <c r="N278" i="5"/>
  <c r="N267" i="5"/>
  <c r="N246" i="5"/>
  <c r="N235" i="5"/>
  <c r="N214" i="5"/>
  <c r="N203" i="5"/>
  <c r="N182" i="5"/>
  <c r="N171" i="5"/>
  <c r="N150" i="5"/>
  <c r="N139" i="5"/>
  <c r="N118" i="5"/>
  <c r="N92" i="5"/>
  <c r="N67" i="5"/>
  <c r="N54" i="5"/>
  <c r="N28" i="5"/>
  <c r="N3" i="5"/>
  <c r="D42" i="5"/>
  <c r="N42" i="5"/>
  <c r="D82" i="5"/>
  <c r="N82" i="5"/>
  <c r="D130" i="5"/>
  <c r="N130" i="5"/>
  <c r="D162" i="5"/>
  <c r="N162" i="5"/>
  <c r="D194" i="5"/>
  <c r="N194" i="5"/>
  <c r="D234" i="5"/>
  <c r="N234" i="5"/>
  <c r="D290" i="5"/>
  <c r="N290" i="5"/>
  <c r="D7" i="5"/>
  <c r="G7" i="5" s="1"/>
  <c r="D15" i="5"/>
  <c r="D23" i="5"/>
  <c r="D31" i="5"/>
  <c r="D39" i="5"/>
  <c r="D47" i="5"/>
  <c r="D55" i="5"/>
  <c r="D63" i="5"/>
  <c r="D71" i="5"/>
  <c r="D79" i="5"/>
  <c r="D87" i="5"/>
  <c r="D95" i="5"/>
  <c r="D103" i="5"/>
  <c r="D111" i="5"/>
  <c r="D119" i="5"/>
  <c r="D127" i="5"/>
  <c r="D135" i="5"/>
  <c r="D143" i="5"/>
  <c r="D151" i="5"/>
  <c r="D159" i="5"/>
  <c r="D167" i="5"/>
  <c r="D175" i="5"/>
  <c r="D183" i="5"/>
  <c r="D191" i="5"/>
  <c r="D199" i="5"/>
  <c r="D207" i="5"/>
  <c r="D215" i="5"/>
  <c r="D223" i="5"/>
  <c r="D231" i="5"/>
  <c r="D239" i="5"/>
  <c r="D247" i="5"/>
  <c r="D255" i="5"/>
  <c r="D263" i="5"/>
  <c r="D271" i="5"/>
  <c r="D279" i="5"/>
  <c r="D287" i="5"/>
  <c r="D295" i="5"/>
  <c r="D303" i="5"/>
  <c r="D311" i="5"/>
  <c r="D319" i="5"/>
  <c r="D327" i="5"/>
  <c r="D335" i="5"/>
  <c r="D343" i="5"/>
  <c r="D351" i="5"/>
  <c r="D359" i="5"/>
  <c r="N358" i="5"/>
  <c r="N350" i="5"/>
  <c r="N342" i="5"/>
  <c r="N334" i="5"/>
  <c r="N326" i="5"/>
  <c r="N318" i="5"/>
  <c r="N308" i="5"/>
  <c r="N287" i="5"/>
  <c r="N276" i="5"/>
  <c r="N255" i="5"/>
  <c r="N244" i="5"/>
  <c r="N223" i="5"/>
  <c r="N212" i="5"/>
  <c r="N191" i="5"/>
  <c r="N180" i="5"/>
  <c r="N159" i="5"/>
  <c r="N148" i="5"/>
  <c r="N127" i="5"/>
  <c r="N116" i="5"/>
  <c r="N103" i="5"/>
  <c r="N91" i="5"/>
  <c r="N78" i="5"/>
  <c r="N52" i="5"/>
  <c r="N39" i="5"/>
  <c r="N27" i="5"/>
  <c r="N14" i="5"/>
  <c r="D8" i="5"/>
  <c r="D16" i="5"/>
  <c r="D24" i="5"/>
  <c r="D32" i="5"/>
  <c r="D40" i="5"/>
  <c r="D48" i="5"/>
  <c r="D56" i="5"/>
  <c r="D64" i="5"/>
  <c r="D72" i="5"/>
  <c r="D80" i="5"/>
  <c r="D88" i="5"/>
  <c r="D96" i="5"/>
  <c r="D104" i="5"/>
  <c r="D112" i="5"/>
  <c r="D120" i="5"/>
  <c r="D128" i="5"/>
  <c r="D136" i="5"/>
  <c r="D144" i="5"/>
  <c r="D152" i="5"/>
  <c r="D160" i="5"/>
  <c r="D168" i="5"/>
  <c r="D176" i="5"/>
  <c r="D184" i="5"/>
  <c r="D192" i="5"/>
  <c r="D200" i="5"/>
  <c r="D208" i="5"/>
  <c r="D216" i="5"/>
  <c r="D224" i="5"/>
  <c r="D232" i="5"/>
  <c r="D240" i="5"/>
  <c r="D248" i="5"/>
  <c r="D256" i="5"/>
  <c r="D264" i="5"/>
  <c r="D272" i="5"/>
  <c r="D280" i="5"/>
  <c r="D288" i="5"/>
  <c r="D296" i="5"/>
  <c r="D304" i="5"/>
  <c r="D312" i="5"/>
  <c r="D320" i="5"/>
  <c r="N357" i="5"/>
  <c r="N349" i="5"/>
  <c r="N341" i="5"/>
  <c r="N333" i="5"/>
  <c r="N325" i="5"/>
  <c r="N317" i="5"/>
  <c r="N307" i="5"/>
  <c r="N296" i="5"/>
  <c r="N286" i="5"/>
  <c r="N275" i="5"/>
  <c r="N264" i="5"/>
  <c r="N254" i="5"/>
  <c r="N243" i="5"/>
  <c r="N232" i="5"/>
  <c r="N222" i="5"/>
  <c r="N211" i="5"/>
  <c r="N200" i="5"/>
  <c r="N190" i="5"/>
  <c r="N179" i="5"/>
  <c r="N168" i="5"/>
  <c r="N158" i="5"/>
  <c r="N147" i="5"/>
  <c r="N136" i="5"/>
  <c r="N126" i="5"/>
  <c r="N115" i="5"/>
  <c r="N102" i="5"/>
  <c r="N88" i="5"/>
  <c r="N76" i="5"/>
  <c r="N63" i="5"/>
  <c r="N51" i="5"/>
  <c r="N38" i="5"/>
  <c r="N24" i="5"/>
  <c r="N12" i="5"/>
  <c r="E2" i="5"/>
  <c r="D18" i="5"/>
  <c r="D10" i="5"/>
  <c r="D2" i="5"/>
  <c r="G2" i="8"/>
  <c r="D2" i="8"/>
  <c r="B3" i="8"/>
  <c r="I2" i="8" l="1"/>
  <c r="J2" i="8" s="1"/>
  <c r="K2" i="8" s="1"/>
  <c r="C3" i="8" s="1"/>
  <c r="P4" i="5"/>
  <c r="O3" i="5"/>
  <c r="C2" i="5"/>
  <c r="E3" i="8"/>
  <c r="B4" i="8"/>
  <c r="L2" i="8" l="1"/>
  <c r="P5" i="5"/>
  <c r="O4" i="5"/>
  <c r="D3" i="8"/>
  <c r="E4" i="8"/>
  <c r="B5" i="8"/>
  <c r="F3" i="8"/>
  <c r="I3" i="8" s="1"/>
  <c r="J3" i="8" s="1"/>
  <c r="H3" i="8"/>
  <c r="G3" i="8"/>
  <c r="P6" i="5" l="1"/>
  <c r="O5" i="5"/>
  <c r="E5" i="8"/>
  <c r="B6" i="8"/>
  <c r="K3" i="8"/>
  <c r="C4" i="8" s="1"/>
  <c r="D4" i="8"/>
  <c r="P7" i="5" l="1"/>
  <c r="O6" i="5"/>
  <c r="D5" i="8"/>
  <c r="E6" i="8"/>
  <c r="B7" i="8"/>
  <c r="F4" i="8"/>
  <c r="H4" i="8"/>
  <c r="G4" i="8"/>
  <c r="L3" i="8"/>
  <c r="P8" i="5" l="1"/>
  <c r="O7" i="5"/>
  <c r="I4" i="8"/>
  <c r="J4" i="8" s="1"/>
  <c r="K4" i="8" s="1"/>
  <c r="D6" i="8"/>
  <c r="E7" i="8"/>
  <c r="B8" i="8"/>
  <c r="P9" i="5" l="1"/>
  <c r="O8" i="5"/>
  <c r="C5" i="8"/>
  <c r="L4" i="8"/>
  <c r="D7" i="8"/>
  <c r="B9" i="8"/>
  <c r="E8" i="8"/>
  <c r="P10" i="5" l="1"/>
  <c r="O9" i="5"/>
  <c r="B10" i="8"/>
  <c r="E9" i="8"/>
  <c r="D8" i="8"/>
  <c r="F5" i="8"/>
  <c r="G5" i="8"/>
  <c r="H5" i="8"/>
  <c r="P11" i="5" l="1"/>
  <c r="O10" i="5"/>
  <c r="I5" i="8"/>
  <c r="J5" i="8" s="1"/>
  <c r="K5" i="8" s="1"/>
  <c r="D9" i="8"/>
  <c r="B11" i="8"/>
  <c r="E10" i="8"/>
  <c r="P12" i="5" l="1"/>
  <c r="O11" i="5"/>
  <c r="C6" i="8"/>
  <c r="L5" i="8"/>
  <c r="D10" i="8"/>
  <c r="B12" i="8"/>
  <c r="E11" i="8"/>
  <c r="P13" i="5" l="1"/>
  <c r="O12" i="5"/>
  <c r="D11" i="8"/>
  <c r="E12" i="8"/>
  <c r="B13" i="8"/>
  <c r="G6" i="8"/>
  <c r="F6" i="8"/>
  <c r="H6" i="8"/>
  <c r="P14" i="5" l="1"/>
  <c r="O13" i="5"/>
  <c r="I6" i="8"/>
  <c r="J6" i="8" s="1"/>
  <c r="K6" i="8" s="1"/>
  <c r="D12" i="8"/>
  <c r="E13" i="8"/>
  <c r="B14" i="8"/>
  <c r="P15" i="5" l="1"/>
  <c r="O14" i="5"/>
  <c r="C7" i="8"/>
  <c r="L6" i="8"/>
  <c r="D13" i="8"/>
  <c r="E14" i="8"/>
  <c r="B15" i="8"/>
  <c r="P16" i="5" l="1"/>
  <c r="O15" i="5"/>
  <c r="D14" i="8"/>
  <c r="E15" i="8"/>
  <c r="B16" i="8"/>
  <c r="H7" i="8"/>
  <c r="G7" i="8"/>
  <c r="F7" i="8"/>
  <c r="P17" i="5" l="1"/>
  <c r="O16" i="5"/>
  <c r="I7" i="8"/>
  <c r="J7" i="8" s="1"/>
  <c r="K7" i="8" s="1"/>
  <c r="B17" i="8"/>
  <c r="E16" i="8"/>
  <c r="D15" i="8"/>
  <c r="P18" i="5" l="1"/>
  <c r="O17" i="5"/>
  <c r="C8" i="8"/>
  <c r="L7" i="8"/>
  <c r="D16" i="8"/>
  <c r="B18" i="8"/>
  <c r="E17" i="8"/>
  <c r="P19" i="5" l="1"/>
  <c r="O18" i="5"/>
  <c r="D17" i="8"/>
  <c r="B19" i="8"/>
  <c r="E18" i="8"/>
  <c r="H8" i="8"/>
  <c r="G8" i="8"/>
  <c r="F8" i="8"/>
  <c r="P20" i="5" l="1"/>
  <c r="O19" i="5"/>
  <c r="I8" i="8"/>
  <c r="J8" i="8" s="1"/>
  <c r="K8" i="8" s="1"/>
  <c r="E19" i="8"/>
  <c r="B20" i="8"/>
  <c r="D18" i="8"/>
  <c r="P21" i="5" l="1"/>
  <c r="O20" i="5"/>
  <c r="C9" i="8"/>
  <c r="L8" i="8"/>
  <c r="E20" i="8"/>
  <c r="B21" i="8"/>
  <c r="D19" i="8"/>
  <c r="P22" i="5" l="1"/>
  <c r="O21" i="5"/>
  <c r="D20" i="8"/>
  <c r="E21" i="8"/>
  <c r="B22" i="8"/>
  <c r="H9" i="8"/>
  <c r="G9" i="8"/>
  <c r="F9" i="8"/>
  <c r="I9" i="8" s="1"/>
  <c r="P23" i="5" l="1"/>
  <c r="O22" i="5"/>
  <c r="D21" i="8"/>
  <c r="E22" i="8"/>
  <c r="B23" i="8"/>
  <c r="J9" i="8"/>
  <c r="K9" i="8" s="1"/>
  <c r="P24" i="5" l="1"/>
  <c r="O23" i="5"/>
  <c r="C10" i="8"/>
  <c r="L9" i="8"/>
  <c r="E23" i="8"/>
  <c r="B24" i="8"/>
  <c r="D22" i="8"/>
  <c r="P25" i="5" l="1"/>
  <c r="O24" i="5"/>
  <c r="B25" i="8"/>
  <c r="E24" i="8"/>
  <c r="D23" i="8"/>
  <c r="H10" i="8"/>
  <c r="G10" i="8"/>
  <c r="F10" i="8"/>
  <c r="P26" i="5" l="1"/>
  <c r="O25" i="5"/>
  <c r="I10" i="8"/>
  <c r="J10" i="8" s="1"/>
  <c r="K10" i="8" s="1"/>
  <c r="D24" i="8"/>
  <c r="E25" i="8"/>
  <c r="B26" i="8"/>
  <c r="P27" i="5" l="1"/>
  <c r="O26" i="5"/>
  <c r="C11" i="8"/>
  <c r="L10" i="8"/>
  <c r="D25" i="8"/>
  <c r="E26" i="8"/>
  <c r="B27" i="8"/>
  <c r="P28" i="5" l="1"/>
  <c r="O27" i="5"/>
  <c r="D26" i="8"/>
  <c r="E27" i="8"/>
  <c r="B28" i="8"/>
  <c r="H11" i="8"/>
  <c r="G11" i="8"/>
  <c r="F11" i="8"/>
  <c r="I11" i="8" s="1"/>
  <c r="P29" i="5" l="1"/>
  <c r="O28" i="5"/>
  <c r="D27" i="8"/>
  <c r="E28" i="8"/>
  <c r="B29" i="8"/>
  <c r="J11" i="8"/>
  <c r="K11" i="8" s="1"/>
  <c r="P30" i="5" l="1"/>
  <c r="O29" i="5"/>
  <c r="C12" i="8"/>
  <c r="L11" i="8"/>
  <c r="B30" i="8"/>
  <c r="E29" i="8"/>
  <c r="D28" i="8"/>
  <c r="P31" i="5" l="1"/>
  <c r="O30" i="5"/>
  <c r="D29" i="8"/>
  <c r="B31" i="8"/>
  <c r="E30" i="8"/>
  <c r="F12" i="8"/>
  <c r="H12" i="8"/>
  <c r="G12" i="8"/>
  <c r="P32" i="5" l="1"/>
  <c r="O31" i="5"/>
  <c r="I12" i="8"/>
  <c r="J12" i="8" s="1"/>
  <c r="K12" i="8" s="1"/>
  <c r="E31" i="8"/>
  <c r="B32" i="8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D30" i="8"/>
  <c r="P33" i="5" l="1"/>
  <c r="O32" i="5"/>
  <c r="C13" i="8"/>
  <c r="L12" i="8"/>
  <c r="E32" i="8"/>
  <c r="D31" i="8"/>
  <c r="P34" i="5" l="1"/>
  <c r="O33" i="5"/>
  <c r="E33" i="8"/>
  <c r="D32" i="8"/>
  <c r="F13" i="8"/>
  <c r="G13" i="8"/>
  <c r="H13" i="8"/>
  <c r="P35" i="5" l="1"/>
  <c r="O34" i="5"/>
  <c r="I13" i="8"/>
  <c r="E34" i="8"/>
  <c r="D33" i="8"/>
  <c r="P36" i="5" l="1"/>
  <c r="O35" i="5"/>
  <c r="J13" i="8"/>
  <c r="K13" i="8" s="1"/>
  <c r="E35" i="8"/>
  <c r="D34" i="8"/>
  <c r="P37" i="5" l="1"/>
  <c r="O36" i="5"/>
  <c r="C14" i="8"/>
  <c r="L13" i="8"/>
  <c r="E36" i="8"/>
  <c r="D35" i="8"/>
  <c r="P38" i="5" l="1"/>
  <c r="O37" i="5"/>
  <c r="E37" i="8"/>
  <c r="D36" i="8"/>
  <c r="G14" i="8"/>
  <c r="F14" i="8"/>
  <c r="I14" i="8" s="1"/>
  <c r="J14" i="8" s="1"/>
  <c r="H14" i="8"/>
  <c r="P39" i="5" l="1"/>
  <c r="O38" i="5"/>
  <c r="E38" i="8"/>
  <c r="D37" i="8"/>
  <c r="K14" i="8"/>
  <c r="C15" i="8" s="1"/>
  <c r="P40" i="5" l="1"/>
  <c r="O39" i="5"/>
  <c r="H15" i="8"/>
  <c r="G15" i="8"/>
  <c r="F15" i="8"/>
  <c r="E39" i="8"/>
  <c r="D38" i="8"/>
  <c r="L14" i="8"/>
  <c r="P41" i="5" l="1"/>
  <c r="O40" i="5"/>
  <c r="I15" i="8"/>
  <c r="J15" i="8" s="1"/>
  <c r="D39" i="8"/>
  <c r="E40" i="8"/>
  <c r="P42" i="5" l="1"/>
  <c r="O41" i="5"/>
  <c r="K15" i="8"/>
  <c r="C16" i="8" s="1"/>
  <c r="H16" i="8" s="1"/>
  <c r="E41" i="8"/>
  <c r="D40" i="8"/>
  <c r="P43" i="5" l="1"/>
  <c r="O42" i="5"/>
  <c r="F16" i="8"/>
  <c r="G16" i="8"/>
  <c r="L15" i="8"/>
  <c r="E42" i="8"/>
  <c r="D41" i="8"/>
  <c r="P44" i="5" l="1"/>
  <c r="O43" i="5"/>
  <c r="I16" i="8"/>
  <c r="J16" i="8" s="1"/>
  <c r="E43" i="8"/>
  <c r="D42" i="8"/>
  <c r="P45" i="5" l="1"/>
  <c r="O44" i="5"/>
  <c r="K16" i="8"/>
  <c r="C17" i="8" s="1"/>
  <c r="G17" i="8" s="1"/>
  <c r="E44" i="8"/>
  <c r="D43" i="8"/>
  <c r="P46" i="5" l="1"/>
  <c r="O45" i="5"/>
  <c r="L16" i="8"/>
  <c r="H17" i="8"/>
  <c r="F17" i="8"/>
  <c r="I17" i="8" s="1"/>
  <c r="J17" i="8" s="1"/>
  <c r="K17" i="8" s="1"/>
  <c r="C18" i="8" s="1"/>
  <c r="E45" i="8"/>
  <c r="D44" i="8"/>
  <c r="P47" i="5" l="1"/>
  <c r="O46" i="5"/>
  <c r="L17" i="8"/>
  <c r="E46" i="8"/>
  <c r="D45" i="8"/>
  <c r="H18" i="8"/>
  <c r="G18" i="8"/>
  <c r="F18" i="8"/>
  <c r="P48" i="5" l="1"/>
  <c r="O47" i="5"/>
  <c r="I18" i="8"/>
  <c r="J18" i="8" s="1"/>
  <c r="E47" i="8"/>
  <c r="D46" i="8"/>
  <c r="P49" i="5" l="1"/>
  <c r="O48" i="5"/>
  <c r="K18" i="8"/>
  <c r="C19" i="8" s="1"/>
  <c r="H19" i="8" s="1"/>
  <c r="D47" i="8"/>
  <c r="E48" i="8"/>
  <c r="P50" i="5" l="1"/>
  <c r="O49" i="5"/>
  <c r="G19" i="8"/>
  <c r="L18" i="8"/>
  <c r="F19" i="8"/>
  <c r="E49" i="8"/>
  <c r="D48" i="8"/>
  <c r="P51" i="5" l="1"/>
  <c r="O50" i="5"/>
  <c r="I19" i="8"/>
  <c r="J19" i="8" s="1"/>
  <c r="E50" i="8"/>
  <c r="D49" i="8"/>
  <c r="P52" i="5" l="1"/>
  <c r="O51" i="5"/>
  <c r="K19" i="8"/>
  <c r="E51" i="8"/>
  <c r="D50" i="8"/>
  <c r="P53" i="5" l="1"/>
  <c r="O52" i="5"/>
  <c r="C20" i="8"/>
  <c r="L19" i="8"/>
  <c r="E52" i="8"/>
  <c r="D51" i="8"/>
  <c r="P54" i="5" l="1"/>
  <c r="O53" i="5"/>
  <c r="F20" i="8"/>
  <c r="G20" i="8"/>
  <c r="H20" i="8"/>
  <c r="E53" i="8"/>
  <c r="D52" i="8"/>
  <c r="P55" i="5" l="1"/>
  <c r="O54" i="5"/>
  <c r="I20" i="8"/>
  <c r="J20" i="8" s="1"/>
  <c r="K20" i="8" s="1"/>
  <c r="C21" i="8" s="1"/>
  <c r="F21" i="8" s="1"/>
  <c r="E54" i="8"/>
  <c r="D53" i="8"/>
  <c r="P56" i="5" l="1"/>
  <c r="O55" i="5"/>
  <c r="L20" i="8"/>
  <c r="H21" i="8"/>
  <c r="G21" i="8"/>
  <c r="I21" i="8" s="1"/>
  <c r="E55" i="8"/>
  <c r="D54" i="8"/>
  <c r="P57" i="5" l="1"/>
  <c r="O56" i="5"/>
  <c r="J21" i="8"/>
  <c r="K21" i="8" s="1"/>
  <c r="E56" i="8"/>
  <c r="D55" i="8"/>
  <c r="P58" i="5" l="1"/>
  <c r="O57" i="5"/>
  <c r="C22" i="8"/>
  <c r="L21" i="8"/>
  <c r="E57" i="8"/>
  <c r="D56" i="8"/>
  <c r="P59" i="5" l="1"/>
  <c r="O58" i="5"/>
  <c r="E58" i="8"/>
  <c r="D57" i="8"/>
  <c r="G22" i="8"/>
  <c r="F22" i="8"/>
  <c r="H22" i="8"/>
  <c r="P60" i="5" l="1"/>
  <c r="O59" i="5"/>
  <c r="I22" i="8"/>
  <c r="J22" i="8" s="1"/>
  <c r="E59" i="8"/>
  <c r="D58" i="8"/>
  <c r="P61" i="5" l="1"/>
  <c r="O60" i="5"/>
  <c r="K22" i="8"/>
  <c r="C23" i="8" s="1"/>
  <c r="H23" i="8" s="1"/>
  <c r="D59" i="8"/>
  <c r="E60" i="8"/>
  <c r="P62" i="5" l="1"/>
  <c r="O61" i="5"/>
  <c r="L22" i="8"/>
  <c r="F23" i="8"/>
  <c r="G23" i="8"/>
  <c r="E61" i="8"/>
  <c r="D60" i="8"/>
  <c r="P63" i="5" l="1"/>
  <c r="O62" i="5"/>
  <c r="I23" i="8"/>
  <c r="J23" i="8" s="1"/>
  <c r="D61" i="8"/>
  <c r="E62" i="8"/>
  <c r="P64" i="5" l="1"/>
  <c r="O63" i="5"/>
  <c r="K23" i="8"/>
  <c r="E63" i="8"/>
  <c r="D62" i="8"/>
  <c r="P65" i="5" l="1"/>
  <c r="O64" i="5"/>
  <c r="C24" i="8"/>
  <c r="L23" i="8"/>
  <c r="E64" i="8"/>
  <c r="D63" i="8"/>
  <c r="P66" i="5" l="1"/>
  <c r="O65" i="5"/>
  <c r="G24" i="8"/>
  <c r="H24" i="8"/>
  <c r="F24" i="8"/>
  <c r="E65" i="8"/>
  <c r="D64" i="8"/>
  <c r="P67" i="5" l="1"/>
  <c r="O66" i="5"/>
  <c r="I24" i="8"/>
  <c r="J24" i="8" s="1"/>
  <c r="K24" i="8" s="1"/>
  <c r="C25" i="8" s="1"/>
  <c r="H25" i="8" s="1"/>
  <c r="D65" i="8"/>
  <c r="E66" i="8"/>
  <c r="P68" i="5" l="1"/>
  <c r="O67" i="5"/>
  <c r="L24" i="8"/>
  <c r="G25" i="8"/>
  <c r="F25" i="8"/>
  <c r="D66" i="8"/>
  <c r="E67" i="8"/>
  <c r="P69" i="5" l="1"/>
  <c r="O68" i="5"/>
  <c r="I25" i="8"/>
  <c r="J25" i="8" s="1"/>
  <c r="E68" i="8"/>
  <c r="D67" i="8"/>
  <c r="P70" i="5" l="1"/>
  <c r="O69" i="5"/>
  <c r="K25" i="8"/>
  <c r="C26" i="8" s="1"/>
  <c r="G26" i="8" s="1"/>
  <c r="E69" i="8"/>
  <c r="D68" i="8"/>
  <c r="P71" i="5" l="1"/>
  <c r="O70" i="5"/>
  <c r="H26" i="8"/>
  <c r="F26" i="8"/>
  <c r="I26" i="8" s="1"/>
  <c r="J26" i="8" s="1"/>
  <c r="K26" i="8" s="1"/>
  <c r="L25" i="8"/>
  <c r="D69" i="8"/>
  <c r="E70" i="8"/>
  <c r="P72" i="5" l="1"/>
  <c r="O71" i="5"/>
  <c r="L26" i="8"/>
  <c r="C27" i="8"/>
  <c r="G27" i="8" s="1"/>
  <c r="E71" i="8"/>
  <c r="D70" i="8"/>
  <c r="P73" i="5" l="1"/>
  <c r="O72" i="5"/>
  <c r="H27" i="8"/>
  <c r="F27" i="8"/>
  <c r="I27" i="8" s="1"/>
  <c r="J27" i="8" s="1"/>
  <c r="K27" i="8" s="1"/>
  <c r="D71" i="8"/>
  <c r="E72" i="8"/>
  <c r="P74" i="5" l="1"/>
  <c r="O73" i="5"/>
  <c r="C28" i="8"/>
  <c r="L27" i="8"/>
  <c r="E73" i="8"/>
  <c r="D72" i="8"/>
  <c r="P75" i="5" l="1"/>
  <c r="O74" i="5"/>
  <c r="E74" i="8"/>
  <c r="D73" i="8"/>
  <c r="H28" i="8"/>
  <c r="G28" i="8"/>
  <c r="F28" i="8"/>
  <c r="P76" i="5" l="1"/>
  <c r="O75" i="5"/>
  <c r="I28" i="8"/>
  <c r="J28" i="8" s="1"/>
  <c r="E75" i="8"/>
  <c r="D74" i="8"/>
  <c r="P77" i="5" l="1"/>
  <c r="O76" i="5"/>
  <c r="K28" i="8"/>
  <c r="C29" i="8" s="1"/>
  <c r="H29" i="8" s="1"/>
  <c r="E76" i="8"/>
  <c r="D75" i="8"/>
  <c r="P78" i="5" l="1"/>
  <c r="O77" i="5"/>
  <c r="F29" i="8"/>
  <c r="G29" i="8"/>
  <c r="L28" i="8"/>
  <c r="E77" i="8"/>
  <c r="D76" i="8"/>
  <c r="P79" i="5" l="1"/>
  <c r="O78" i="5"/>
  <c r="I29" i="8"/>
  <c r="J29" i="8" s="1"/>
  <c r="K29" i="8" s="1"/>
  <c r="C30" i="8" s="1"/>
  <c r="H30" i="8" s="1"/>
  <c r="E78" i="8"/>
  <c r="D77" i="8"/>
  <c r="P80" i="5" l="1"/>
  <c r="O79" i="5"/>
  <c r="F30" i="8"/>
  <c r="G30" i="8"/>
  <c r="L29" i="8"/>
  <c r="E79" i="8"/>
  <c r="D78" i="8"/>
  <c r="P81" i="5" l="1"/>
  <c r="O80" i="5"/>
  <c r="I30" i="8"/>
  <c r="J30" i="8" s="1"/>
  <c r="K30" i="8" s="1"/>
  <c r="C31" i="8" s="1"/>
  <c r="E80" i="8"/>
  <c r="D79" i="8"/>
  <c r="P82" i="5" l="1"/>
  <c r="O81" i="5"/>
  <c r="L30" i="8"/>
  <c r="E81" i="8"/>
  <c r="D80" i="8"/>
  <c r="H31" i="8"/>
  <c r="F31" i="8"/>
  <c r="G31" i="8"/>
  <c r="P83" i="5" l="1"/>
  <c r="O82" i="5"/>
  <c r="I31" i="8"/>
  <c r="J31" i="8" s="1"/>
  <c r="K31" i="8" s="1"/>
  <c r="D81" i="8"/>
  <c r="E82" i="8"/>
  <c r="P84" i="5" l="1"/>
  <c r="O83" i="5"/>
  <c r="C32" i="8"/>
  <c r="L31" i="8"/>
  <c r="E83" i="8"/>
  <c r="D82" i="8"/>
  <c r="P85" i="5" l="1"/>
  <c r="O84" i="5"/>
  <c r="E84" i="8"/>
  <c r="D83" i="8"/>
  <c r="G32" i="8"/>
  <c r="H32" i="8"/>
  <c r="F32" i="8"/>
  <c r="P86" i="5" l="1"/>
  <c r="O85" i="5"/>
  <c r="I32" i="8"/>
  <c r="J32" i="8" s="1"/>
  <c r="K32" i="8" s="1"/>
  <c r="E85" i="8"/>
  <c r="D84" i="8"/>
  <c r="P87" i="5" l="1"/>
  <c r="O86" i="5"/>
  <c r="C33" i="8"/>
  <c r="L32" i="8"/>
  <c r="E86" i="8"/>
  <c r="D85" i="8"/>
  <c r="P88" i="5" l="1"/>
  <c r="O87" i="5"/>
  <c r="E87" i="8"/>
  <c r="D86" i="8"/>
  <c r="H33" i="8"/>
  <c r="G33" i="8"/>
  <c r="F33" i="8"/>
  <c r="P89" i="5" l="1"/>
  <c r="O88" i="5"/>
  <c r="I33" i="8"/>
  <c r="J33" i="8" s="1"/>
  <c r="E88" i="8"/>
  <c r="D87" i="8"/>
  <c r="P90" i="5" l="1"/>
  <c r="O89" i="5"/>
  <c r="K33" i="8"/>
  <c r="C34" i="8" s="1"/>
  <c r="H34" i="8" s="1"/>
  <c r="E89" i="8"/>
  <c r="D88" i="8"/>
  <c r="P91" i="5" l="1"/>
  <c r="O90" i="5"/>
  <c r="G34" i="8"/>
  <c r="F34" i="8"/>
  <c r="L33" i="8"/>
  <c r="E90" i="8"/>
  <c r="D89" i="8"/>
  <c r="P92" i="5" l="1"/>
  <c r="O91" i="5"/>
  <c r="I34" i="8"/>
  <c r="J34" i="8" s="1"/>
  <c r="K34" i="8" s="1"/>
  <c r="E91" i="8"/>
  <c r="D90" i="8"/>
  <c r="P93" i="5" l="1"/>
  <c r="O92" i="5"/>
  <c r="C35" i="8"/>
  <c r="L34" i="8"/>
  <c r="E92" i="8"/>
  <c r="D91" i="8"/>
  <c r="P94" i="5" l="1"/>
  <c r="O93" i="5"/>
  <c r="E93" i="8"/>
  <c r="D92" i="8"/>
  <c r="G35" i="8"/>
  <c r="F35" i="8"/>
  <c r="H35" i="8"/>
  <c r="P95" i="5" l="1"/>
  <c r="O94" i="5"/>
  <c r="I35" i="8"/>
  <c r="J35" i="8" s="1"/>
  <c r="K35" i="8" s="1"/>
  <c r="E94" i="8"/>
  <c r="D93" i="8"/>
  <c r="P96" i="5" l="1"/>
  <c r="O95" i="5"/>
  <c r="C36" i="8"/>
  <c r="L35" i="8"/>
  <c r="E95" i="8"/>
  <c r="D94" i="8"/>
  <c r="P97" i="5" l="1"/>
  <c r="O96" i="5"/>
  <c r="E96" i="8"/>
  <c r="D95" i="8"/>
  <c r="H36" i="8"/>
  <c r="G36" i="8"/>
  <c r="F36" i="8"/>
  <c r="P98" i="5" l="1"/>
  <c r="O97" i="5"/>
  <c r="I36" i="8"/>
  <c r="J36" i="8" s="1"/>
  <c r="K36" i="8" s="1"/>
  <c r="E97" i="8"/>
  <c r="D96" i="8"/>
  <c r="P99" i="5" l="1"/>
  <c r="O98" i="5"/>
  <c r="C37" i="8"/>
  <c r="L36" i="8"/>
  <c r="E98" i="8"/>
  <c r="D97" i="8"/>
  <c r="P100" i="5" l="1"/>
  <c r="O99" i="5"/>
  <c r="E99" i="8"/>
  <c r="D98" i="8"/>
  <c r="H37" i="8"/>
  <c r="F37" i="8"/>
  <c r="G37" i="8"/>
  <c r="P101" i="5" l="1"/>
  <c r="O100" i="5"/>
  <c r="D99" i="8"/>
  <c r="E100" i="8"/>
  <c r="I37" i="8"/>
  <c r="P102" i="5" l="1"/>
  <c r="O101" i="5"/>
  <c r="E101" i="8"/>
  <c r="D100" i="8"/>
  <c r="J37" i="8"/>
  <c r="K37" i="8" s="1"/>
  <c r="P103" i="5" l="1"/>
  <c r="O102" i="5"/>
  <c r="C38" i="8"/>
  <c r="L37" i="8"/>
  <c r="E102" i="8"/>
  <c r="D101" i="8"/>
  <c r="P104" i="5" l="1"/>
  <c r="O103" i="5"/>
  <c r="E103" i="8"/>
  <c r="D102" i="8"/>
  <c r="H38" i="8"/>
  <c r="G38" i="8"/>
  <c r="F38" i="8"/>
  <c r="I38" i="8" s="1"/>
  <c r="J38" i="8" s="1"/>
  <c r="P105" i="5" l="1"/>
  <c r="O104" i="5"/>
  <c r="K38" i="8"/>
  <c r="C39" i="8" s="1"/>
  <c r="D103" i="8"/>
  <c r="E104" i="8"/>
  <c r="P106" i="5" l="1"/>
  <c r="O105" i="5"/>
  <c r="L38" i="8"/>
  <c r="E105" i="8"/>
  <c r="D104" i="8"/>
  <c r="H39" i="8"/>
  <c r="G39" i="8"/>
  <c r="F39" i="8"/>
  <c r="I39" i="8" s="1"/>
  <c r="P107" i="5" l="1"/>
  <c r="O106" i="5"/>
  <c r="J39" i="8"/>
  <c r="K39" i="8" s="1"/>
  <c r="E106" i="8"/>
  <c r="D105" i="8"/>
  <c r="P108" i="5" l="1"/>
  <c r="O107" i="5"/>
  <c r="C40" i="8"/>
  <c r="L39" i="8"/>
  <c r="E107" i="8"/>
  <c r="D106" i="8"/>
  <c r="P109" i="5" l="1"/>
  <c r="O108" i="5"/>
  <c r="D107" i="8"/>
  <c r="E108" i="8"/>
  <c r="H40" i="8"/>
  <c r="G40" i="8"/>
  <c r="F40" i="8"/>
  <c r="I40" i="8" s="1"/>
  <c r="J40" i="8" s="1"/>
  <c r="P110" i="5" l="1"/>
  <c r="O109" i="5"/>
  <c r="K40" i="8"/>
  <c r="C41" i="8" s="1"/>
  <c r="E109" i="8"/>
  <c r="D108" i="8"/>
  <c r="P111" i="5" l="1"/>
  <c r="O110" i="5"/>
  <c r="E110" i="8"/>
  <c r="D109" i="8"/>
  <c r="H41" i="8"/>
  <c r="G41" i="8"/>
  <c r="F41" i="8"/>
  <c r="L40" i="8"/>
  <c r="P112" i="5" l="1"/>
  <c r="O111" i="5"/>
  <c r="I41" i="8"/>
  <c r="J41" i="8" s="1"/>
  <c r="K41" i="8" s="1"/>
  <c r="E111" i="8"/>
  <c r="D110" i="8"/>
  <c r="P113" i="5" l="1"/>
  <c r="O112" i="5"/>
  <c r="C42" i="8"/>
  <c r="L41" i="8"/>
  <c r="D111" i="8"/>
  <c r="E112" i="8"/>
  <c r="P114" i="5" l="1"/>
  <c r="O113" i="5"/>
  <c r="E113" i="8"/>
  <c r="D112" i="8"/>
  <c r="F42" i="8"/>
  <c r="H42" i="8"/>
  <c r="G42" i="8"/>
  <c r="P115" i="5" l="1"/>
  <c r="O114" i="5"/>
  <c r="I42" i="8"/>
  <c r="J42" i="8" s="1"/>
  <c r="E114" i="8"/>
  <c r="D113" i="8"/>
  <c r="P116" i="5" l="1"/>
  <c r="O115" i="5"/>
  <c r="K42" i="8"/>
  <c r="C43" i="8" s="1"/>
  <c r="F43" i="8" s="1"/>
  <c r="E115" i="8"/>
  <c r="D114" i="8"/>
  <c r="P117" i="5" l="1"/>
  <c r="O116" i="5"/>
  <c r="H43" i="8"/>
  <c r="G43" i="8"/>
  <c r="I43" i="8" s="1"/>
  <c r="L42" i="8"/>
  <c r="D115" i="8"/>
  <c r="E116" i="8"/>
  <c r="P118" i="5" l="1"/>
  <c r="O117" i="5"/>
  <c r="J43" i="8"/>
  <c r="K43" i="8" s="1"/>
  <c r="E117" i="8"/>
  <c r="D116" i="8"/>
  <c r="P119" i="5" l="1"/>
  <c r="O118" i="5"/>
  <c r="C44" i="8"/>
  <c r="L43" i="8"/>
  <c r="E118" i="8"/>
  <c r="D117" i="8"/>
  <c r="P120" i="5" l="1"/>
  <c r="O119" i="5"/>
  <c r="H44" i="8"/>
  <c r="G44" i="8"/>
  <c r="F44" i="8"/>
  <c r="I44" i="8" s="1"/>
  <c r="J44" i="8" s="1"/>
  <c r="K44" i="8" s="1"/>
  <c r="C45" i="8" s="1"/>
  <c r="E119" i="8"/>
  <c r="D118" i="8"/>
  <c r="P121" i="5" l="1"/>
  <c r="O120" i="5"/>
  <c r="L44" i="8"/>
  <c r="D119" i="8"/>
  <c r="E120" i="8"/>
  <c r="H45" i="8"/>
  <c r="G45" i="8"/>
  <c r="F45" i="8"/>
  <c r="I45" i="8" s="1"/>
  <c r="P122" i="5" l="1"/>
  <c r="O121" i="5"/>
  <c r="E121" i="8"/>
  <c r="D120" i="8"/>
  <c r="J45" i="8"/>
  <c r="K45" i="8" s="1"/>
  <c r="P123" i="5" l="1"/>
  <c r="O122" i="5"/>
  <c r="C46" i="8"/>
  <c r="L45" i="8"/>
  <c r="E122" i="8"/>
  <c r="D121" i="8"/>
  <c r="P124" i="5" l="1"/>
  <c r="O123" i="5"/>
  <c r="E123" i="8"/>
  <c r="D122" i="8"/>
  <c r="H46" i="8"/>
  <c r="G46" i="8"/>
  <c r="F46" i="8"/>
  <c r="P125" i="5" l="1"/>
  <c r="O124" i="5"/>
  <c r="I46" i="8"/>
  <c r="J46" i="8" s="1"/>
  <c r="K46" i="8" s="1"/>
  <c r="D123" i="8"/>
  <c r="E124" i="8"/>
  <c r="P126" i="5" l="1"/>
  <c r="O125" i="5"/>
  <c r="C47" i="8"/>
  <c r="L46" i="8"/>
  <c r="E125" i="8"/>
  <c r="D124" i="8"/>
  <c r="P127" i="5" l="1"/>
  <c r="O126" i="5"/>
  <c r="E126" i="8"/>
  <c r="D125" i="8"/>
  <c r="H47" i="8"/>
  <c r="G47" i="8"/>
  <c r="F47" i="8"/>
  <c r="P128" i="5" l="1"/>
  <c r="O127" i="5"/>
  <c r="I47" i="8"/>
  <c r="J47" i="8" s="1"/>
  <c r="K47" i="8" s="1"/>
  <c r="E127" i="8"/>
  <c r="D126" i="8"/>
  <c r="P129" i="5" l="1"/>
  <c r="O128" i="5"/>
  <c r="C48" i="8"/>
  <c r="L47" i="8"/>
  <c r="D127" i="8"/>
  <c r="E128" i="8"/>
  <c r="P130" i="5" l="1"/>
  <c r="O129" i="5"/>
  <c r="E129" i="8"/>
  <c r="D128" i="8"/>
  <c r="H48" i="8"/>
  <c r="G48" i="8"/>
  <c r="F48" i="8"/>
  <c r="I48" i="8" s="1"/>
  <c r="J48" i="8" s="1"/>
  <c r="P131" i="5" l="1"/>
  <c r="O130" i="5"/>
  <c r="K48" i="8"/>
  <c r="C49" i="8" s="1"/>
  <c r="E130" i="8"/>
  <c r="D129" i="8"/>
  <c r="P132" i="5" l="1"/>
  <c r="O131" i="5"/>
  <c r="L48" i="8"/>
  <c r="E131" i="8"/>
  <c r="D130" i="8"/>
  <c r="H49" i="8"/>
  <c r="G49" i="8"/>
  <c r="F49" i="8"/>
  <c r="P133" i="5" l="1"/>
  <c r="O132" i="5"/>
  <c r="I49" i="8"/>
  <c r="J49" i="8" s="1"/>
  <c r="K49" i="8" s="1"/>
  <c r="D131" i="8"/>
  <c r="E132" i="8"/>
  <c r="P134" i="5" l="1"/>
  <c r="O133" i="5"/>
  <c r="C50" i="8"/>
  <c r="L49" i="8"/>
  <c r="E133" i="8"/>
  <c r="D132" i="8"/>
  <c r="P135" i="5" l="1"/>
  <c r="O134" i="5"/>
  <c r="E134" i="8"/>
  <c r="D133" i="8"/>
  <c r="F50" i="8"/>
  <c r="H50" i="8"/>
  <c r="G50" i="8"/>
  <c r="P136" i="5" l="1"/>
  <c r="O135" i="5"/>
  <c r="I50" i="8"/>
  <c r="E135" i="8"/>
  <c r="D134" i="8"/>
  <c r="P137" i="5" l="1"/>
  <c r="O136" i="5"/>
  <c r="D135" i="8"/>
  <c r="E136" i="8"/>
  <c r="J50" i="8"/>
  <c r="K50" i="8" s="1"/>
  <c r="P138" i="5" l="1"/>
  <c r="O137" i="5"/>
  <c r="C51" i="8"/>
  <c r="L50" i="8"/>
  <c r="E137" i="8"/>
  <c r="D136" i="8"/>
  <c r="P139" i="5" l="1"/>
  <c r="O138" i="5"/>
  <c r="E138" i="8"/>
  <c r="D137" i="8"/>
  <c r="G51" i="8"/>
  <c r="F51" i="8"/>
  <c r="I51" i="8" s="1"/>
  <c r="H51" i="8"/>
  <c r="P140" i="5" l="1"/>
  <c r="O139" i="5"/>
  <c r="J51" i="8"/>
  <c r="K51" i="8" s="1"/>
  <c r="E139" i="8"/>
  <c r="D138" i="8"/>
  <c r="P141" i="5" l="1"/>
  <c r="O140" i="5"/>
  <c r="C52" i="8"/>
  <c r="L51" i="8"/>
  <c r="D139" i="8"/>
  <c r="E140" i="8"/>
  <c r="P142" i="5" l="1"/>
  <c r="O141" i="5"/>
  <c r="E141" i="8"/>
  <c r="D140" i="8"/>
  <c r="H52" i="8"/>
  <c r="G52" i="8"/>
  <c r="F52" i="8"/>
  <c r="P143" i="5" l="1"/>
  <c r="O142" i="5"/>
  <c r="I52" i="8"/>
  <c r="J52" i="8" s="1"/>
  <c r="K52" i="8" s="1"/>
  <c r="E142" i="8"/>
  <c r="D141" i="8"/>
  <c r="P144" i="5" l="1"/>
  <c r="O143" i="5"/>
  <c r="C53" i="8"/>
  <c r="L52" i="8"/>
  <c r="E143" i="8"/>
  <c r="D142" i="8"/>
  <c r="P145" i="5" l="1"/>
  <c r="O144" i="5"/>
  <c r="D143" i="8"/>
  <c r="E144" i="8"/>
  <c r="H53" i="8"/>
  <c r="G53" i="8"/>
  <c r="F53" i="8"/>
  <c r="P146" i="5" l="1"/>
  <c r="O145" i="5"/>
  <c r="I53" i="8"/>
  <c r="J53" i="8" s="1"/>
  <c r="K53" i="8" s="1"/>
  <c r="E145" i="8"/>
  <c r="D144" i="8"/>
  <c r="P147" i="5" l="1"/>
  <c r="O146" i="5"/>
  <c r="C54" i="8"/>
  <c r="L53" i="8"/>
  <c r="D145" i="8"/>
  <c r="E146" i="8"/>
  <c r="P148" i="5" l="1"/>
  <c r="O147" i="5"/>
  <c r="E147" i="8"/>
  <c r="D146" i="8"/>
  <c r="H54" i="8"/>
  <c r="G54" i="8"/>
  <c r="F54" i="8"/>
  <c r="I54" i="8" s="1"/>
  <c r="J54" i="8" s="1"/>
  <c r="P149" i="5" l="1"/>
  <c r="O148" i="5"/>
  <c r="E148" i="8"/>
  <c r="D147" i="8"/>
  <c r="K54" i="8"/>
  <c r="C55" i="8" s="1"/>
  <c r="P150" i="5" l="1"/>
  <c r="O149" i="5"/>
  <c r="H55" i="8"/>
  <c r="G55" i="8"/>
  <c r="F55" i="8"/>
  <c r="E149" i="8"/>
  <c r="D148" i="8"/>
  <c r="L54" i="8"/>
  <c r="P151" i="5" l="1"/>
  <c r="O150" i="5"/>
  <c r="I55" i="8"/>
  <c r="J55" i="8" s="1"/>
  <c r="K55" i="8" s="1"/>
  <c r="E150" i="8"/>
  <c r="D149" i="8"/>
  <c r="P152" i="5" l="1"/>
  <c r="O151" i="5"/>
  <c r="C56" i="8"/>
  <c r="L55" i="8"/>
  <c r="E151" i="8"/>
  <c r="D150" i="8"/>
  <c r="P153" i="5" l="1"/>
  <c r="O152" i="5"/>
  <c r="E152" i="8"/>
  <c r="D151" i="8"/>
  <c r="H56" i="8"/>
  <c r="G56" i="8"/>
  <c r="F56" i="8"/>
  <c r="P154" i="5" l="1"/>
  <c r="O153" i="5"/>
  <c r="I56" i="8"/>
  <c r="J56" i="8" s="1"/>
  <c r="K56" i="8" s="1"/>
  <c r="E153" i="8"/>
  <c r="D152" i="8"/>
  <c r="P155" i="5" l="1"/>
  <c r="O154" i="5"/>
  <c r="C57" i="8"/>
  <c r="L56" i="8"/>
  <c r="D153" i="8"/>
  <c r="E154" i="8"/>
  <c r="P156" i="5" l="1"/>
  <c r="O155" i="5"/>
  <c r="E155" i="8"/>
  <c r="D154" i="8"/>
  <c r="H57" i="8"/>
  <c r="G57" i="8"/>
  <c r="F57" i="8"/>
  <c r="P157" i="5" l="1"/>
  <c r="O156" i="5"/>
  <c r="I57" i="8"/>
  <c r="J57" i="8" s="1"/>
  <c r="E156" i="8"/>
  <c r="D155" i="8"/>
  <c r="P158" i="5" l="1"/>
  <c r="O157" i="5"/>
  <c r="K57" i="8"/>
  <c r="C58" i="8" s="1"/>
  <c r="F58" i="8" s="1"/>
  <c r="E157" i="8"/>
  <c r="D156" i="8"/>
  <c r="P159" i="5" l="1"/>
  <c r="O158" i="5"/>
  <c r="G58" i="8"/>
  <c r="I58" i="8" s="1"/>
  <c r="J58" i="8" s="1"/>
  <c r="K58" i="8" s="1"/>
  <c r="H58" i="8"/>
  <c r="L57" i="8"/>
  <c r="E158" i="8"/>
  <c r="D157" i="8"/>
  <c r="P160" i="5" l="1"/>
  <c r="O159" i="5"/>
  <c r="C59" i="8"/>
  <c r="L58" i="8"/>
  <c r="E159" i="8"/>
  <c r="D158" i="8"/>
  <c r="P161" i="5" l="1"/>
  <c r="O160" i="5"/>
  <c r="E160" i="8"/>
  <c r="D159" i="8"/>
  <c r="G59" i="8"/>
  <c r="H59" i="8"/>
  <c r="F59" i="8"/>
  <c r="P162" i="5" l="1"/>
  <c r="O161" i="5"/>
  <c r="I59" i="8"/>
  <c r="E161" i="8"/>
  <c r="D160" i="8"/>
  <c r="P163" i="5" l="1"/>
  <c r="O162" i="5"/>
  <c r="J59" i="8"/>
  <c r="K59" i="8" s="1"/>
  <c r="D161" i="8"/>
  <c r="E162" i="8"/>
  <c r="P164" i="5" l="1"/>
  <c r="O163" i="5"/>
  <c r="C60" i="8"/>
  <c r="L59" i="8"/>
  <c r="E163" i="8"/>
  <c r="D162" i="8"/>
  <c r="P165" i="5" l="1"/>
  <c r="O164" i="5"/>
  <c r="E164" i="8"/>
  <c r="D163" i="8"/>
  <c r="H60" i="8"/>
  <c r="G60" i="8"/>
  <c r="F60" i="8"/>
  <c r="P166" i="5" l="1"/>
  <c r="O165" i="5"/>
  <c r="I60" i="8"/>
  <c r="J60" i="8" s="1"/>
  <c r="K60" i="8" s="1"/>
  <c r="E165" i="8"/>
  <c r="D164" i="8"/>
  <c r="P167" i="5" l="1"/>
  <c r="O166" i="5"/>
  <c r="C61" i="8"/>
  <c r="L60" i="8"/>
  <c r="E166" i="8"/>
  <c r="D165" i="8"/>
  <c r="P168" i="5" l="1"/>
  <c r="O167" i="5"/>
  <c r="E167" i="8"/>
  <c r="D166" i="8"/>
  <c r="H61" i="8"/>
  <c r="G61" i="8"/>
  <c r="F61" i="8"/>
  <c r="P169" i="5" l="1"/>
  <c r="O168" i="5"/>
  <c r="I61" i="8"/>
  <c r="J61" i="8" s="1"/>
  <c r="K61" i="8" s="1"/>
  <c r="E168" i="8"/>
  <c r="D167" i="8"/>
  <c r="P170" i="5" l="1"/>
  <c r="O169" i="5"/>
  <c r="C62" i="8"/>
  <c r="L61" i="8"/>
  <c r="E169" i="8"/>
  <c r="D168" i="8"/>
  <c r="P171" i="5" l="1"/>
  <c r="O170" i="5"/>
  <c r="D169" i="8"/>
  <c r="E170" i="8"/>
  <c r="F62" i="8"/>
  <c r="H62" i="8"/>
  <c r="G62" i="8"/>
  <c r="P172" i="5" l="1"/>
  <c r="O171" i="5"/>
  <c r="I62" i="8"/>
  <c r="J62" i="8" s="1"/>
  <c r="K62" i="8" s="1"/>
  <c r="E171" i="8"/>
  <c r="D170" i="8"/>
  <c r="P173" i="5" l="1"/>
  <c r="O172" i="5"/>
  <c r="C63" i="8"/>
  <c r="L62" i="8"/>
  <c r="D171" i="8"/>
  <c r="E172" i="8"/>
  <c r="P174" i="5" l="1"/>
  <c r="O173" i="5"/>
  <c r="D172" i="8"/>
  <c r="E173" i="8"/>
  <c r="G63" i="8"/>
  <c r="H63" i="8"/>
  <c r="F63" i="8"/>
  <c r="P175" i="5" l="1"/>
  <c r="O174" i="5"/>
  <c r="I63" i="8"/>
  <c r="J63" i="8" s="1"/>
  <c r="K63" i="8" s="1"/>
  <c r="E174" i="8"/>
  <c r="D173" i="8"/>
  <c r="P176" i="5" l="1"/>
  <c r="O175" i="5"/>
  <c r="C64" i="8"/>
  <c r="L63" i="8"/>
  <c r="E175" i="8"/>
  <c r="D174" i="8"/>
  <c r="P177" i="5" l="1"/>
  <c r="O176" i="5"/>
  <c r="E176" i="8"/>
  <c r="D175" i="8"/>
  <c r="H64" i="8"/>
  <c r="G64" i="8"/>
  <c r="F64" i="8"/>
  <c r="I64" i="8" s="1"/>
  <c r="P178" i="5" l="1"/>
  <c r="O177" i="5"/>
  <c r="J64" i="8"/>
  <c r="K64" i="8" s="1"/>
  <c r="E177" i="8"/>
  <c r="D176" i="8"/>
  <c r="P179" i="5" l="1"/>
  <c r="O178" i="5"/>
  <c r="C65" i="8"/>
  <c r="L64" i="8"/>
  <c r="E178" i="8"/>
  <c r="D177" i="8"/>
  <c r="P180" i="5" l="1"/>
  <c r="O179" i="5"/>
  <c r="E179" i="8"/>
  <c r="D178" i="8"/>
  <c r="H65" i="8"/>
  <c r="G65" i="8"/>
  <c r="F65" i="8"/>
  <c r="P181" i="5" l="1"/>
  <c r="O180" i="5"/>
  <c r="I65" i="8"/>
  <c r="J65" i="8" s="1"/>
  <c r="K65" i="8" s="1"/>
  <c r="E180" i="8"/>
  <c r="D179" i="8"/>
  <c r="P182" i="5" l="1"/>
  <c r="O181" i="5"/>
  <c r="C66" i="8"/>
  <c r="L65" i="8"/>
  <c r="E181" i="8"/>
  <c r="D180" i="8"/>
  <c r="P183" i="5" l="1"/>
  <c r="O182" i="5"/>
  <c r="E182" i="8"/>
  <c r="D181" i="8"/>
  <c r="F66" i="8"/>
  <c r="H66" i="8"/>
  <c r="G66" i="8"/>
  <c r="P184" i="5" l="1"/>
  <c r="O183" i="5"/>
  <c r="I66" i="8"/>
  <c r="E183" i="8"/>
  <c r="D182" i="8"/>
  <c r="P185" i="5" l="1"/>
  <c r="O184" i="5"/>
  <c r="E184" i="8"/>
  <c r="D183" i="8"/>
  <c r="J66" i="8"/>
  <c r="K66" i="8" s="1"/>
  <c r="P186" i="5" l="1"/>
  <c r="O185" i="5"/>
  <c r="C67" i="8"/>
  <c r="L66" i="8"/>
  <c r="D184" i="8"/>
  <c r="E185" i="8"/>
  <c r="P187" i="5" l="1"/>
  <c r="O186" i="5"/>
  <c r="E186" i="8"/>
  <c r="D185" i="8"/>
  <c r="G67" i="8"/>
  <c r="H67" i="8"/>
  <c r="F67" i="8"/>
  <c r="P188" i="5" l="1"/>
  <c r="O187" i="5"/>
  <c r="I67" i="8"/>
  <c r="J67" i="8" s="1"/>
  <c r="K67" i="8" s="1"/>
  <c r="E187" i="8"/>
  <c r="D186" i="8"/>
  <c r="P189" i="5" l="1"/>
  <c r="O188" i="5"/>
  <c r="C68" i="8"/>
  <c r="L67" i="8"/>
  <c r="E188" i="8"/>
  <c r="D187" i="8"/>
  <c r="P190" i="5" l="1"/>
  <c r="O189" i="5"/>
  <c r="E189" i="8"/>
  <c r="D188" i="8"/>
  <c r="H68" i="8"/>
  <c r="G68" i="8"/>
  <c r="F68" i="8"/>
  <c r="P191" i="5" l="1"/>
  <c r="O190" i="5"/>
  <c r="I68" i="8"/>
  <c r="J68" i="8" s="1"/>
  <c r="K68" i="8" s="1"/>
  <c r="C69" i="8" s="1"/>
  <c r="E190" i="8"/>
  <c r="D189" i="8"/>
  <c r="P192" i="5" l="1"/>
  <c r="O191" i="5"/>
  <c r="F69" i="8"/>
  <c r="G69" i="8"/>
  <c r="H69" i="8"/>
  <c r="E191" i="8"/>
  <c r="D190" i="8"/>
  <c r="L68" i="8"/>
  <c r="P193" i="5" l="1"/>
  <c r="O192" i="5"/>
  <c r="E192" i="8"/>
  <c r="D191" i="8"/>
  <c r="I69" i="8"/>
  <c r="P194" i="5" l="1"/>
  <c r="O193" i="5"/>
  <c r="E193" i="8"/>
  <c r="D192" i="8"/>
  <c r="J69" i="8"/>
  <c r="K69" i="8" s="1"/>
  <c r="P195" i="5" l="1"/>
  <c r="O194" i="5"/>
  <c r="C70" i="8"/>
  <c r="L69" i="8"/>
  <c r="E194" i="8"/>
  <c r="D193" i="8"/>
  <c r="P196" i="5" l="1"/>
  <c r="O195" i="5"/>
  <c r="D194" i="8"/>
  <c r="E195" i="8"/>
  <c r="G70" i="8"/>
  <c r="F70" i="8"/>
  <c r="I70" i="8" s="1"/>
  <c r="H70" i="8"/>
  <c r="P197" i="5" l="1"/>
  <c r="O196" i="5"/>
  <c r="D195" i="8"/>
  <c r="E196" i="8"/>
  <c r="J70" i="8"/>
  <c r="K70" i="8" s="1"/>
  <c r="P198" i="5" l="1"/>
  <c r="O197" i="5"/>
  <c r="C71" i="8"/>
  <c r="L70" i="8"/>
  <c r="E197" i="8"/>
  <c r="D196" i="8"/>
  <c r="P199" i="5" l="1"/>
  <c r="O198" i="5"/>
  <c r="E198" i="8"/>
  <c r="D197" i="8"/>
  <c r="H71" i="8"/>
  <c r="G71" i="8"/>
  <c r="F71" i="8"/>
  <c r="P200" i="5" l="1"/>
  <c r="O199" i="5"/>
  <c r="E199" i="8"/>
  <c r="D198" i="8"/>
  <c r="I71" i="8"/>
  <c r="P201" i="5" l="1"/>
  <c r="O200" i="5"/>
  <c r="J71" i="8"/>
  <c r="K71" i="8" s="1"/>
  <c r="E200" i="8"/>
  <c r="D199" i="8"/>
  <c r="P202" i="5" l="1"/>
  <c r="O201" i="5"/>
  <c r="C72" i="8"/>
  <c r="L71" i="8"/>
  <c r="D200" i="8"/>
  <c r="E201" i="8"/>
  <c r="P203" i="5" l="1"/>
  <c r="O202" i="5"/>
  <c r="E202" i="8"/>
  <c r="D201" i="8"/>
  <c r="F72" i="8"/>
  <c r="H72" i="8"/>
  <c r="G72" i="8"/>
  <c r="P204" i="5" l="1"/>
  <c r="O203" i="5"/>
  <c r="I72" i="8"/>
  <c r="D202" i="8"/>
  <c r="E203" i="8"/>
  <c r="P205" i="5" l="1"/>
  <c r="O204" i="5"/>
  <c r="E204" i="8"/>
  <c r="D203" i="8"/>
  <c r="J72" i="8"/>
  <c r="K72" i="8" s="1"/>
  <c r="P206" i="5" l="1"/>
  <c r="O205" i="5"/>
  <c r="C73" i="8"/>
  <c r="L72" i="8"/>
  <c r="D204" i="8"/>
  <c r="E205" i="8"/>
  <c r="P207" i="5" l="1"/>
  <c r="O206" i="5"/>
  <c r="E206" i="8"/>
  <c r="D205" i="8"/>
  <c r="G73" i="8"/>
  <c r="H73" i="8"/>
  <c r="F73" i="8"/>
  <c r="P208" i="5" l="1"/>
  <c r="O207" i="5"/>
  <c r="I73" i="8"/>
  <c r="E207" i="8"/>
  <c r="D206" i="8"/>
  <c r="P209" i="5" l="1"/>
  <c r="O208" i="5"/>
  <c r="E208" i="8"/>
  <c r="D207" i="8"/>
  <c r="J73" i="8"/>
  <c r="K73" i="8" s="1"/>
  <c r="P210" i="5" l="1"/>
  <c r="O209" i="5"/>
  <c r="C74" i="8"/>
  <c r="L73" i="8"/>
  <c r="D208" i="8"/>
  <c r="E209" i="8"/>
  <c r="P211" i="5" l="1"/>
  <c r="O210" i="5"/>
  <c r="E210" i="8"/>
  <c r="D209" i="8"/>
  <c r="H74" i="8"/>
  <c r="F74" i="8"/>
  <c r="G74" i="8"/>
  <c r="P212" i="5" l="1"/>
  <c r="O211" i="5"/>
  <c r="I74" i="8"/>
  <c r="J74" i="8" s="1"/>
  <c r="K74" i="8" s="1"/>
  <c r="E211" i="8"/>
  <c r="D210" i="8"/>
  <c r="P213" i="5" l="1"/>
  <c r="O212" i="5"/>
  <c r="C75" i="8"/>
  <c r="L74" i="8"/>
  <c r="D211" i="8"/>
  <c r="E212" i="8"/>
  <c r="P214" i="5" l="1"/>
  <c r="O213" i="5"/>
  <c r="E213" i="8"/>
  <c r="D212" i="8"/>
  <c r="G75" i="8"/>
  <c r="H75" i="8"/>
  <c r="F75" i="8"/>
  <c r="P215" i="5" l="1"/>
  <c r="O214" i="5"/>
  <c r="I75" i="8"/>
  <c r="J75" i="8" s="1"/>
  <c r="K75" i="8" s="1"/>
  <c r="D213" i="8"/>
  <c r="E214" i="8"/>
  <c r="P216" i="5" l="1"/>
  <c r="O215" i="5"/>
  <c r="C76" i="8"/>
  <c r="L75" i="8"/>
  <c r="E215" i="8"/>
  <c r="D214" i="8"/>
  <c r="P217" i="5" l="1"/>
  <c r="O216" i="5"/>
  <c r="E216" i="8"/>
  <c r="D215" i="8"/>
  <c r="H76" i="8"/>
  <c r="G76" i="8"/>
  <c r="F76" i="8"/>
  <c r="I76" i="8" s="1"/>
  <c r="P218" i="5" l="1"/>
  <c r="O217" i="5"/>
  <c r="J76" i="8"/>
  <c r="K76" i="8" s="1"/>
  <c r="E217" i="8"/>
  <c r="D216" i="8"/>
  <c r="P219" i="5" l="1"/>
  <c r="O218" i="5"/>
  <c r="C77" i="8"/>
  <c r="L76" i="8"/>
  <c r="D217" i="8"/>
  <c r="E218" i="8"/>
  <c r="P220" i="5" l="1"/>
  <c r="O219" i="5"/>
  <c r="E219" i="8"/>
  <c r="D218" i="8"/>
  <c r="F77" i="8"/>
  <c r="H77" i="8"/>
  <c r="G77" i="8"/>
  <c r="P221" i="5" l="1"/>
  <c r="O220" i="5"/>
  <c r="I77" i="8"/>
  <c r="J77" i="8" s="1"/>
  <c r="K77" i="8" s="1"/>
  <c r="E220" i="8"/>
  <c r="D219" i="8"/>
  <c r="P222" i="5" l="1"/>
  <c r="O221" i="5"/>
  <c r="C78" i="8"/>
  <c r="L77" i="8"/>
  <c r="E221" i="8"/>
  <c r="D220" i="8"/>
  <c r="P223" i="5" l="1"/>
  <c r="O222" i="5"/>
  <c r="D221" i="8"/>
  <c r="E222" i="8"/>
  <c r="G78" i="8"/>
  <c r="F78" i="8"/>
  <c r="H78" i="8"/>
  <c r="P224" i="5" l="1"/>
  <c r="O223" i="5"/>
  <c r="I78" i="8"/>
  <c r="J78" i="8" s="1"/>
  <c r="K78" i="8" s="1"/>
  <c r="D222" i="8"/>
  <c r="E223" i="8"/>
  <c r="P225" i="5" l="1"/>
  <c r="O224" i="5"/>
  <c r="C79" i="8"/>
  <c r="L78" i="8"/>
  <c r="E224" i="8"/>
  <c r="D223" i="8"/>
  <c r="P226" i="5" l="1"/>
  <c r="O225" i="5"/>
  <c r="E225" i="8"/>
  <c r="D224" i="8"/>
  <c r="H79" i="8"/>
  <c r="G79" i="8"/>
  <c r="F79" i="8"/>
  <c r="P227" i="5" l="1"/>
  <c r="O226" i="5"/>
  <c r="I79" i="8"/>
  <c r="E226" i="8"/>
  <c r="D225" i="8"/>
  <c r="P228" i="5" l="1"/>
  <c r="O227" i="5"/>
  <c r="J79" i="8"/>
  <c r="K79" i="8" s="1"/>
  <c r="E227" i="8"/>
  <c r="D226" i="8"/>
  <c r="P229" i="5" l="1"/>
  <c r="O228" i="5"/>
  <c r="C80" i="8"/>
  <c r="L79" i="8"/>
  <c r="E228" i="8"/>
  <c r="D227" i="8"/>
  <c r="P230" i="5" l="1"/>
  <c r="O229" i="5"/>
  <c r="E229" i="8"/>
  <c r="D228" i="8"/>
  <c r="F80" i="8"/>
  <c r="H80" i="8"/>
  <c r="G80" i="8"/>
  <c r="P231" i="5" l="1"/>
  <c r="O230" i="5"/>
  <c r="I80" i="8"/>
  <c r="E230" i="8"/>
  <c r="D229" i="8"/>
  <c r="P232" i="5" l="1"/>
  <c r="O231" i="5"/>
  <c r="D230" i="8"/>
  <c r="E231" i="8"/>
  <c r="J80" i="8"/>
  <c r="K80" i="8" s="1"/>
  <c r="P233" i="5" l="1"/>
  <c r="O232" i="5"/>
  <c r="C81" i="8"/>
  <c r="L80" i="8"/>
  <c r="E232" i="8"/>
  <c r="D231" i="8"/>
  <c r="P234" i="5" l="1"/>
  <c r="O233" i="5"/>
  <c r="E233" i="8"/>
  <c r="D232" i="8"/>
  <c r="G81" i="8"/>
  <c r="H81" i="8"/>
  <c r="F81" i="8"/>
  <c r="P235" i="5" l="1"/>
  <c r="O234" i="5"/>
  <c r="I81" i="8"/>
  <c r="J81" i="8" s="1"/>
  <c r="K81" i="8" s="1"/>
  <c r="E234" i="8"/>
  <c r="D233" i="8"/>
  <c r="P236" i="5" l="1"/>
  <c r="O235" i="5"/>
  <c r="C82" i="8"/>
  <c r="L81" i="8"/>
  <c r="E235" i="8"/>
  <c r="D234" i="8"/>
  <c r="P237" i="5" l="1"/>
  <c r="O236" i="5"/>
  <c r="E236" i="8"/>
  <c r="D235" i="8"/>
  <c r="H82" i="8"/>
  <c r="F82" i="8"/>
  <c r="G82" i="8"/>
  <c r="P238" i="5" l="1"/>
  <c r="O237" i="5"/>
  <c r="I82" i="8"/>
  <c r="J82" i="8" s="1"/>
  <c r="E237" i="8"/>
  <c r="D236" i="8"/>
  <c r="P239" i="5" l="1"/>
  <c r="O238" i="5"/>
  <c r="K82" i="8"/>
  <c r="E238" i="8"/>
  <c r="D237" i="8"/>
  <c r="P240" i="5" l="1"/>
  <c r="O239" i="5"/>
  <c r="C83" i="8"/>
  <c r="L82" i="8"/>
  <c r="E239" i="8"/>
  <c r="D238" i="8"/>
  <c r="P241" i="5" l="1"/>
  <c r="O240" i="5"/>
  <c r="G83" i="8"/>
  <c r="H83" i="8"/>
  <c r="F83" i="8"/>
  <c r="E240" i="8"/>
  <c r="D239" i="8"/>
  <c r="P242" i="5" l="1"/>
  <c r="O241" i="5"/>
  <c r="I83" i="8"/>
  <c r="J83" i="8" s="1"/>
  <c r="K83" i="8" s="1"/>
  <c r="E241" i="8"/>
  <c r="D240" i="8"/>
  <c r="P243" i="5" l="1"/>
  <c r="O242" i="5"/>
  <c r="C84" i="8"/>
  <c r="L83" i="8"/>
  <c r="E242" i="8"/>
  <c r="D241" i="8"/>
  <c r="P244" i="5" l="1"/>
  <c r="O243" i="5"/>
  <c r="F84" i="8"/>
  <c r="H84" i="8"/>
  <c r="G84" i="8"/>
  <c r="E243" i="8"/>
  <c r="D242" i="8"/>
  <c r="P245" i="5" l="1"/>
  <c r="O244" i="5"/>
  <c r="I84" i="8"/>
  <c r="J84" i="8" s="1"/>
  <c r="K84" i="8" s="1"/>
  <c r="C85" i="8" s="1"/>
  <c r="E244" i="8"/>
  <c r="D243" i="8"/>
  <c r="P246" i="5" l="1"/>
  <c r="O245" i="5"/>
  <c r="H85" i="8"/>
  <c r="G85" i="8"/>
  <c r="F85" i="8"/>
  <c r="L84" i="8"/>
  <c r="E245" i="8"/>
  <c r="D244" i="8"/>
  <c r="P247" i="5" l="1"/>
  <c r="O246" i="5"/>
  <c r="I85" i="8"/>
  <c r="J85" i="8" s="1"/>
  <c r="K85" i="8" s="1"/>
  <c r="C86" i="8" s="1"/>
  <c r="E246" i="8"/>
  <c r="D245" i="8"/>
  <c r="P248" i="5" l="1"/>
  <c r="O247" i="5"/>
  <c r="L85" i="8"/>
  <c r="E247" i="8"/>
  <c r="D246" i="8"/>
  <c r="G86" i="8"/>
  <c r="F86" i="8"/>
  <c r="H86" i="8"/>
  <c r="P249" i="5" l="1"/>
  <c r="O248" i="5"/>
  <c r="I86" i="8"/>
  <c r="J86" i="8" s="1"/>
  <c r="K86" i="8" s="1"/>
  <c r="E248" i="8"/>
  <c r="D247" i="8"/>
  <c r="P250" i="5" l="1"/>
  <c r="O249" i="5"/>
  <c r="C87" i="8"/>
  <c r="L86" i="8"/>
  <c r="E249" i="8"/>
  <c r="D248" i="8"/>
  <c r="P251" i="5" l="1"/>
  <c r="O250" i="5"/>
  <c r="E250" i="8"/>
  <c r="D249" i="8"/>
  <c r="H87" i="8"/>
  <c r="G87" i="8"/>
  <c r="F87" i="8"/>
  <c r="P252" i="5" l="1"/>
  <c r="O251" i="5"/>
  <c r="I87" i="8"/>
  <c r="E251" i="8"/>
  <c r="D250" i="8"/>
  <c r="P253" i="5" l="1"/>
  <c r="O252" i="5"/>
  <c r="E252" i="8"/>
  <c r="D251" i="8"/>
  <c r="J87" i="8"/>
  <c r="K87" i="8" s="1"/>
  <c r="P254" i="5" l="1"/>
  <c r="O253" i="5"/>
  <c r="C88" i="8"/>
  <c r="L87" i="8"/>
  <c r="E253" i="8"/>
  <c r="D252" i="8"/>
  <c r="P255" i="5" l="1"/>
  <c r="O254" i="5"/>
  <c r="E254" i="8"/>
  <c r="D253" i="8"/>
  <c r="F88" i="8"/>
  <c r="H88" i="8"/>
  <c r="G88" i="8"/>
  <c r="P256" i="5" l="1"/>
  <c r="O255" i="5"/>
  <c r="I88" i="8"/>
  <c r="D254" i="8"/>
  <c r="E255" i="8"/>
  <c r="P257" i="5" l="1"/>
  <c r="O256" i="5"/>
  <c r="D255" i="8"/>
  <c r="E256" i="8"/>
  <c r="J88" i="8"/>
  <c r="K88" i="8" s="1"/>
  <c r="P258" i="5" l="1"/>
  <c r="O257" i="5"/>
  <c r="C89" i="8"/>
  <c r="L88" i="8"/>
  <c r="E257" i="8"/>
  <c r="D256" i="8"/>
  <c r="P259" i="5" l="1"/>
  <c r="O258" i="5"/>
  <c r="E258" i="8"/>
  <c r="D257" i="8"/>
  <c r="G89" i="8"/>
  <c r="H89" i="8"/>
  <c r="F89" i="8"/>
  <c r="I89" i="8" s="1"/>
  <c r="J89" i="8" s="1"/>
  <c r="P260" i="5" l="1"/>
  <c r="O259" i="5"/>
  <c r="K89" i="8"/>
  <c r="C90" i="8" s="1"/>
  <c r="E259" i="8"/>
  <c r="D258" i="8"/>
  <c r="P261" i="5" l="1"/>
  <c r="O260" i="5"/>
  <c r="L89" i="8"/>
  <c r="E260" i="8"/>
  <c r="D259" i="8"/>
  <c r="F90" i="8"/>
  <c r="H90" i="8"/>
  <c r="G90" i="8"/>
  <c r="P262" i="5" l="1"/>
  <c r="O261" i="5"/>
  <c r="I90" i="8"/>
  <c r="E261" i="8"/>
  <c r="D260" i="8"/>
  <c r="P263" i="5" l="1"/>
  <c r="O262" i="5"/>
  <c r="D261" i="8"/>
  <c r="E262" i="8"/>
  <c r="J90" i="8"/>
  <c r="K90" i="8" s="1"/>
  <c r="P264" i="5" l="1"/>
  <c r="O263" i="5"/>
  <c r="C91" i="8"/>
  <c r="L90" i="8"/>
  <c r="E263" i="8"/>
  <c r="D262" i="8"/>
  <c r="P265" i="5" l="1"/>
  <c r="O264" i="5"/>
  <c r="E264" i="8"/>
  <c r="D263" i="8"/>
  <c r="G91" i="8"/>
  <c r="F91" i="8"/>
  <c r="H91" i="8"/>
  <c r="P266" i="5" l="1"/>
  <c r="O265" i="5"/>
  <c r="I91" i="8"/>
  <c r="J91" i="8" s="1"/>
  <c r="K91" i="8" s="1"/>
  <c r="E265" i="8"/>
  <c r="D264" i="8"/>
  <c r="P267" i="5" l="1"/>
  <c r="O266" i="5"/>
  <c r="C92" i="8"/>
  <c r="L91" i="8"/>
  <c r="D265" i="8"/>
  <c r="E266" i="8"/>
  <c r="P268" i="5" l="1"/>
  <c r="O267" i="5"/>
  <c r="E267" i="8"/>
  <c r="D266" i="8"/>
  <c r="H92" i="8"/>
  <c r="F92" i="8"/>
  <c r="G92" i="8"/>
  <c r="P269" i="5" l="1"/>
  <c r="O268" i="5"/>
  <c r="I92" i="8"/>
  <c r="J92" i="8" s="1"/>
  <c r="E268" i="8"/>
  <c r="D267" i="8"/>
  <c r="P270" i="5" l="1"/>
  <c r="O269" i="5"/>
  <c r="K92" i="8"/>
  <c r="C93" i="8" s="1"/>
  <c r="G93" i="8" s="1"/>
  <c r="E269" i="8"/>
  <c r="D268" i="8"/>
  <c r="P271" i="5" l="1"/>
  <c r="O270" i="5"/>
  <c r="L92" i="8"/>
  <c r="F93" i="8"/>
  <c r="I93" i="8" s="1"/>
  <c r="H93" i="8"/>
  <c r="E270" i="8"/>
  <c r="D269" i="8"/>
  <c r="P272" i="5" l="1"/>
  <c r="O271" i="5"/>
  <c r="J93" i="8"/>
  <c r="K93" i="8" s="1"/>
  <c r="C94" i="8" s="1"/>
  <c r="F94" i="8" s="1"/>
  <c r="E271" i="8"/>
  <c r="D270" i="8"/>
  <c r="P273" i="5" l="1"/>
  <c r="O272" i="5"/>
  <c r="G94" i="8"/>
  <c r="I94" i="8" s="1"/>
  <c r="H94" i="8"/>
  <c r="L93" i="8"/>
  <c r="E272" i="8"/>
  <c r="D271" i="8"/>
  <c r="P274" i="5" l="1"/>
  <c r="O273" i="5"/>
  <c r="J94" i="8"/>
  <c r="K94" i="8" s="1"/>
  <c r="E273" i="8"/>
  <c r="D272" i="8"/>
  <c r="P275" i="5" l="1"/>
  <c r="O274" i="5"/>
  <c r="C95" i="8"/>
  <c r="L94" i="8"/>
  <c r="E274" i="8"/>
  <c r="D273" i="8"/>
  <c r="P276" i="5" l="1"/>
  <c r="O275" i="5"/>
  <c r="D274" i="8"/>
  <c r="E275" i="8"/>
  <c r="G95" i="8"/>
  <c r="F95" i="8"/>
  <c r="H95" i="8"/>
  <c r="P277" i="5" l="1"/>
  <c r="O276" i="5"/>
  <c r="I95" i="8"/>
  <c r="J95" i="8" s="1"/>
  <c r="K95" i="8" s="1"/>
  <c r="E276" i="8"/>
  <c r="D275" i="8"/>
  <c r="P278" i="5" l="1"/>
  <c r="O277" i="5"/>
  <c r="C96" i="8"/>
  <c r="L95" i="8"/>
  <c r="E277" i="8"/>
  <c r="D276" i="8"/>
  <c r="P279" i="5" l="1"/>
  <c r="O278" i="5"/>
  <c r="D277" i="8"/>
  <c r="E278" i="8"/>
  <c r="H96" i="8"/>
  <c r="G96" i="8"/>
  <c r="F96" i="8"/>
  <c r="I96" i="8" s="1"/>
  <c r="P280" i="5" l="1"/>
  <c r="O279" i="5"/>
  <c r="J96" i="8"/>
  <c r="K96" i="8" s="1"/>
  <c r="D278" i="8"/>
  <c r="E279" i="8"/>
  <c r="P281" i="5" l="1"/>
  <c r="O280" i="5"/>
  <c r="C97" i="8"/>
  <c r="L96" i="8"/>
  <c r="E280" i="8"/>
  <c r="D279" i="8"/>
  <c r="P282" i="5" l="1"/>
  <c r="O281" i="5"/>
  <c r="E281" i="8"/>
  <c r="D280" i="8"/>
  <c r="H97" i="8"/>
  <c r="G97" i="8"/>
  <c r="F97" i="8"/>
  <c r="P283" i="5" l="1"/>
  <c r="O282" i="5"/>
  <c r="I97" i="8"/>
  <c r="J97" i="8" s="1"/>
  <c r="E282" i="8"/>
  <c r="D281" i="8"/>
  <c r="P284" i="5" l="1"/>
  <c r="O283" i="5"/>
  <c r="K97" i="8"/>
  <c r="C98" i="8" s="1"/>
  <c r="H98" i="8" s="1"/>
  <c r="D282" i="8"/>
  <c r="E283" i="8"/>
  <c r="P285" i="5" l="1"/>
  <c r="O284" i="5"/>
  <c r="G98" i="8"/>
  <c r="F98" i="8"/>
  <c r="L97" i="8"/>
  <c r="E284" i="8"/>
  <c r="D283" i="8"/>
  <c r="P286" i="5" l="1"/>
  <c r="O285" i="5"/>
  <c r="I98" i="8"/>
  <c r="J98" i="8" s="1"/>
  <c r="E285" i="8"/>
  <c r="D284" i="8"/>
  <c r="P287" i="5" l="1"/>
  <c r="O286" i="5"/>
  <c r="K98" i="8"/>
  <c r="C99" i="8" s="1"/>
  <c r="E286" i="8"/>
  <c r="D285" i="8"/>
  <c r="P288" i="5" l="1"/>
  <c r="O287" i="5"/>
  <c r="L98" i="8"/>
  <c r="F99" i="8"/>
  <c r="G99" i="8"/>
  <c r="H99" i="8"/>
  <c r="E287" i="8"/>
  <c r="D286" i="8"/>
  <c r="P289" i="5" l="1"/>
  <c r="O288" i="5"/>
  <c r="I99" i="8"/>
  <c r="J99" i="8" s="1"/>
  <c r="K99" i="8" s="1"/>
  <c r="C100" i="8" s="1"/>
  <c r="D287" i="8"/>
  <c r="E288" i="8"/>
  <c r="P290" i="5" l="1"/>
  <c r="O289" i="5"/>
  <c r="L99" i="8"/>
  <c r="E289" i="8"/>
  <c r="D288" i="8"/>
  <c r="H100" i="8"/>
  <c r="F100" i="8"/>
  <c r="G100" i="8"/>
  <c r="P291" i="5" l="1"/>
  <c r="O290" i="5"/>
  <c r="I100" i="8"/>
  <c r="J100" i="8" s="1"/>
  <c r="K100" i="8" s="1"/>
  <c r="E290" i="8"/>
  <c r="D289" i="8"/>
  <c r="P292" i="5" l="1"/>
  <c r="O291" i="5"/>
  <c r="C101" i="8"/>
  <c r="L100" i="8"/>
  <c r="E291" i="8"/>
  <c r="D290" i="8"/>
  <c r="P293" i="5" l="1"/>
  <c r="O292" i="5"/>
  <c r="E292" i="8"/>
  <c r="D291" i="8"/>
  <c r="G101" i="8"/>
  <c r="H101" i="8"/>
  <c r="F101" i="8"/>
  <c r="P294" i="5" l="1"/>
  <c r="O293" i="5"/>
  <c r="I101" i="8"/>
  <c r="J101" i="8" s="1"/>
  <c r="K101" i="8" s="1"/>
  <c r="E293" i="8"/>
  <c r="D292" i="8"/>
  <c r="P295" i="5" l="1"/>
  <c r="O294" i="5"/>
  <c r="C102" i="8"/>
  <c r="L101" i="8"/>
  <c r="E294" i="8"/>
  <c r="D293" i="8"/>
  <c r="P296" i="5" l="1"/>
  <c r="O295" i="5"/>
  <c r="D294" i="8"/>
  <c r="E295" i="8"/>
  <c r="F102" i="8"/>
  <c r="H102" i="8"/>
  <c r="G102" i="8"/>
  <c r="P297" i="5" l="1"/>
  <c r="O296" i="5"/>
  <c r="I102" i="8"/>
  <c r="D295" i="8"/>
  <c r="E296" i="8"/>
  <c r="P298" i="5" l="1"/>
  <c r="O297" i="5"/>
  <c r="E297" i="8"/>
  <c r="D296" i="8"/>
  <c r="J102" i="8"/>
  <c r="K102" i="8" s="1"/>
  <c r="P299" i="5" l="1"/>
  <c r="O298" i="5"/>
  <c r="C103" i="8"/>
  <c r="L102" i="8"/>
  <c r="E298" i="8"/>
  <c r="D297" i="8"/>
  <c r="P300" i="5" l="1"/>
  <c r="O299" i="5"/>
  <c r="D298" i="8"/>
  <c r="E299" i="8"/>
  <c r="G103" i="8"/>
  <c r="F103" i="8"/>
  <c r="H103" i="8"/>
  <c r="P301" i="5" l="1"/>
  <c r="O300" i="5"/>
  <c r="I103" i="8"/>
  <c r="J103" i="8" s="1"/>
  <c r="K103" i="8" s="1"/>
  <c r="C104" i="8" s="1"/>
  <c r="E300" i="8"/>
  <c r="D299" i="8"/>
  <c r="P302" i="5" l="1"/>
  <c r="O301" i="5"/>
  <c r="L103" i="8"/>
  <c r="E301" i="8"/>
  <c r="D300" i="8"/>
  <c r="H104" i="8"/>
  <c r="G104" i="8"/>
  <c r="F104" i="8"/>
  <c r="I104" i="8" l="1"/>
  <c r="J104" i="8" s="1"/>
  <c r="P303" i="5"/>
  <c r="O302" i="5"/>
  <c r="D301" i="8"/>
  <c r="E302" i="8"/>
  <c r="K104" i="8" l="1"/>
  <c r="C105" i="8" s="1"/>
  <c r="P304" i="5"/>
  <c r="O303" i="5"/>
  <c r="E303" i="8"/>
  <c r="D302" i="8"/>
  <c r="H105" i="8"/>
  <c r="G105" i="8"/>
  <c r="F105" i="8"/>
  <c r="I105" i="8" s="1"/>
  <c r="L104" i="8"/>
  <c r="P305" i="5" l="1"/>
  <c r="O304" i="5"/>
  <c r="J105" i="8"/>
  <c r="K105" i="8" s="1"/>
  <c r="E304" i="8"/>
  <c r="D303" i="8"/>
  <c r="P306" i="5" l="1"/>
  <c r="O305" i="5"/>
  <c r="C106" i="8"/>
  <c r="L105" i="8"/>
  <c r="E305" i="8"/>
  <c r="D304" i="8"/>
  <c r="P307" i="5" l="1"/>
  <c r="O306" i="5"/>
  <c r="D305" i="8"/>
  <c r="E306" i="8"/>
  <c r="H106" i="8"/>
  <c r="F106" i="8"/>
  <c r="G106" i="8"/>
  <c r="P308" i="5" l="1"/>
  <c r="O307" i="5"/>
  <c r="I106" i="8"/>
  <c r="J106" i="8" s="1"/>
  <c r="K106" i="8" s="1"/>
  <c r="E307" i="8"/>
  <c r="D306" i="8"/>
  <c r="P309" i="5" l="1"/>
  <c r="O308" i="5"/>
  <c r="C107" i="8"/>
  <c r="L106" i="8"/>
  <c r="E308" i="8"/>
  <c r="D307" i="8"/>
  <c r="P310" i="5" l="1"/>
  <c r="O309" i="5"/>
  <c r="E309" i="8"/>
  <c r="D308" i="8"/>
  <c r="G107" i="8"/>
  <c r="H107" i="8"/>
  <c r="F107" i="8"/>
  <c r="I107" i="8" l="1"/>
  <c r="J107" i="8" s="1"/>
  <c r="K107" i="8" s="1"/>
  <c r="P311" i="5"/>
  <c r="O310" i="5"/>
  <c r="D309" i="8"/>
  <c r="E310" i="8"/>
  <c r="P312" i="5" l="1"/>
  <c r="O311" i="5"/>
  <c r="C108" i="8"/>
  <c r="L107" i="8"/>
  <c r="E311" i="8"/>
  <c r="D310" i="8"/>
  <c r="P313" i="5" l="1"/>
  <c r="O312" i="5"/>
  <c r="D311" i="8"/>
  <c r="E312" i="8"/>
  <c r="H108" i="8"/>
  <c r="F108" i="8"/>
  <c r="G108" i="8"/>
  <c r="P314" i="5" l="1"/>
  <c r="O313" i="5"/>
  <c r="I108" i="8"/>
  <c r="J108" i="8" s="1"/>
  <c r="K108" i="8" s="1"/>
  <c r="E313" i="8"/>
  <c r="D312" i="8"/>
  <c r="P315" i="5" l="1"/>
  <c r="O314" i="5"/>
  <c r="C109" i="8"/>
  <c r="L108" i="8"/>
  <c r="E314" i="8"/>
  <c r="D313" i="8"/>
  <c r="P316" i="5" l="1"/>
  <c r="O315" i="5"/>
  <c r="E315" i="8"/>
  <c r="D314" i="8"/>
  <c r="G109" i="8"/>
  <c r="H109" i="8"/>
  <c r="F109" i="8"/>
  <c r="I109" i="8" s="1"/>
  <c r="P317" i="5" l="1"/>
  <c r="O316" i="5"/>
  <c r="J109" i="8"/>
  <c r="K109" i="8" s="1"/>
  <c r="D315" i="8"/>
  <c r="E316" i="8"/>
  <c r="P318" i="5" l="1"/>
  <c r="O317" i="5"/>
  <c r="C110" i="8"/>
  <c r="L109" i="8"/>
  <c r="D316" i="8"/>
  <c r="E317" i="8"/>
  <c r="P319" i="5" l="1"/>
  <c r="O318" i="5"/>
  <c r="E318" i="8"/>
  <c r="D317" i="8"/>
  <c r="F110" i="8"/>
  <c r="H110" i="8"/>
  <c r="G110" i="8"/>
  <c r="P320" i="5" l="1"/>
  <c r="O319" i="5"/>
  <c r="I110" i="8"/>
  <c r="E319" i="8"/>
  <c r="D318" i="8"/>
  <c r="P321" i="5" l="1"/>
  <c r="O320" i="5"/>
  <c r="E320" i="8"/>
  <c r="D319" i="8"/>
  <c r="J110" i="8"/>
  <c r="K110" i="8" s="1"/>
  <c r="P322" i="5" l="1"/>
  <c r="O321" i="5"/>
  <c r="C111" i="8"/>
  <c r="L110" i="8"/>
  <c r="E321" i="8"/>
  <c r="D320" i="8"/>
  <c r="P323" i="5" l="1"/>
  <c r="O322" i="5"/>
  <c r="E322" i="8"/>
  <c r="D321" i="8"/>
  <c r="G111" i="8"/>
  <c r="F111" i="8"/>
  <c r="I111" i="8" s="1"/>
  <c r="H111" i="8"/>
  <c r="P324" i="5" l="1"/>
  <c r="O323" i="5"/>
  <c r="J111" i="8"/>
  <c r="K111" i="8" s="1"/>
  <c r="E323" i="8"/>
  <c r="D322" i="8"/>
  <c r="P325" i="5" l="1"/>
  <c r="O324" i="5"/>
  <c r="C112" i="8"/>
  <c r="L111" i="8"/>
  <c r="E324" i="8"/>
  <c r="D323" i="8"/>
  <c r="P326" i="5" l="1"/>
  <c r="O325" i="5"/>
  <c r="D324" i="8"/>
  <c r="E325" i="8"/>
  <c r="H112" i="8"/>
  <c r="G112" i="8"/>
  <c r="F112" i="8"/>
  <c r="P327" i="5" l="1"/>
  <c r="O326" i="5"/>
  <c r="I112" i="8"/>
  <c r="J112" i="8" s="1"/>
  <c r="E326" i="8"/>
  <c r="D325" i="8"/>
  <c r="P328" i="5" l="1"/>
  <c r="O327" i="5"/>
  <c r="K112" i="8"/>
  <c r="C113" i="8" s="1"/>
  <c r="H113" i="8" s="1"/>
  <c r="E327" i="8"/>
  <c r="D326" i="8"/>
  <c r="P329" i="5" l="1"/>
  <c r="O328" i="5"/>
  <c r="G113" i="8"/>
  <c r="F113" i="8"/>
  <c r="L112" i="8"/>
  <c r="D327" i="8"/>
  <c r="E328" i="8"/>
  <c r="P330" i="5" l="1"/>
  <c r="O329" i="5"/>
  <c r="I113" i="8"/>
  <c r="J113" i="8" s="1"/>
  <c r="K113" i="8" s="1"/>
  <c r="C114" i="8" s="1"/>
  <c r="E329" i="8"/>
  <c r="D328" i="8"/>
  <c r="P331" i="5" l="1"/>
  <c r="O330" i="5"/>
  <c r="L113" i="8"/>
  <c r="E330" i="8"/>
  <c r="D329" i="8"/>
  <c r="H114" i="8"/>
  <c r="F114" i="8"/>
  <c r="G114" i="8"/>
  <c r="P332" i="5" l="1"/>
  <c r="O331" i="5"/>
  <c r="I114" i="8"/>
  <c r="J114" i="8" s="1"/>
  <c r="K114" i="8" s="1"/>
  <c r="E331" i="8"/>
  <c r="D330" i="8"/>
  <c r="P333" i="5" l="1"/>
  <c r="O332" i="5"/>
  <c r="C115" i="8"/>
  <c r="L114" i="8"/>
  <c r="D331" i="8"/>
  <c r="E332" i="8"/>
  <c r="P334" i="5" l="1"/>
  <c r="O333" i="5"/>
  <c r="E333" i="8"/>
  <c r="D332" i="8"/>
  <c r="G115" i="8"/>
  <c r="H115" i="8"/>
  <c r="F115" i="8"/>
  <c r="I115" i="8" l="1"/>
  <c r="J115" i="8" s="1"/>
  <c r="K115" i="8" s="1"/>
  <c r="P335" i="5"/>
  <c r="O334" i="5"/>
  <c r="E334" i="8"/>
  <c r="D333" i="8"/>
  <c r="P336" i="5" l="1"/>
  <c r="O335" i="5"/>
  <c r="C116" i="8"/>
  <c r="L115" i="8"/>
  <c r="E335" i="8"/>
  <c r="D334" i="8"/>
  <c r="P337" i="5" l="1"/>
  <c r="O336" i="5"/>
  <c r="E336" i="8"/>
  <c r="D335" i="8"/>
  <c r="H116" i="8"/>
  <c r="F116" i="8"/>
  <c r="G116" i="8"/>
  <c r="P338" i="5" l="1"/>
  <c r="O337" i="5"/>
  <c r="I116" i="8"/>
  <c r="J116" i="8" s="1"/>
  <c r="K116" i="8" s="1"/>
  <c r="E337" i="8"/>
  <c r="D336" i="8"/>
  <c r="P339" i="5" l="1"/>
  <c r="O338" i="5"/>
  <c r="C117" i="8"/>
  <c r="L116" i="8"/>
  <c r="E338" i="8"/>
  <c r="D337" i="8"/>
  <c r="P340" i="5" l="1"/>
  <c r="O339" i="5"/>
  <c r="E339" i="8"/>
  <c r="D338" i="8"/>
  <c r="G117" i="8"/>
  <c r="H117" i="8"/>
  <c r="F117" i="8"/>
  <c r="I117" i="8" s="1"/>
  <c r="J117" i="8" s="1"/>
  <c r="P341" i="5" l="1"/>
  <c r="O340" i="5"/>
  <c r="K117" i="8"/>
  <c r="C118" i="8" s="1"/>
  <c r="D339" i="8"/>
  <c r="E340" i="8"/>
  <c r="P342" i="5" l="1"/>
  <c r="O341" i="5"/>
  <c r="E341" i="8"/>
  <c r="D340" i="8"/>
  <c r="F118" i="8"/>
  <c r="H118" i="8"/>
  <c r="G118" i="8"/>
  <c r="L117" i="8"/>
  <c r="P343" i="5" l="1"/>
  <c r="O342" i="5"/>
  <c r="E342" i="8"/>
  <c r="D341" i="8"/>
  <c r="I118" i="8"/>
  <c r="P344" i="5" l="1"/>
  <c r="O343" i="5"/>
  <c r="J118" i="8"/>
  <c r="K118" i="8" s="1"/>
  <c r="E343" i="8"/>
  <c r="D342" i="8"/>
  <c r="P345" i="5" l="1"/>
  <c r="O344" i="5"/>
  <c r="C119" i="8"/>
  <c r="L118" i="8"/>
  <c r="E344" i="8"/>
  <c r="D343" i="8"/>
  <c r="P346" i="5" l="1"/>
  <c r="O345" i="5"/>
  <c r="E345" i="8"/>
  <c r="D344" i="8"/>
  <c r="G119" i="8"/>
  <c r="F119" i="8"/>
  <c r="H119" i="8"/>
  <c r="I119" i="8" l="1"/>
  <c r="J119" i="8" s="1"/>
  <c r="K119" i="8" s="1"/>
  <c r="P347" i="5"/>
  <c r="O346" i="5"/>
  <c r="E346" i="8"/>
  <c r="D345" i="8"/>
  <c r="P348" i="5" l="1"/>
  <c r="O347" i="5"/>
  <c r="C120" i="8"/>
  <c r="L119" i="8"/>
  <c r="E347" i="8"/>
  <c r="D346" i="8"/>
  <c r="P349" i="5" l="1"/>
  <c r="O348" i="5"/>
  <c r="E348" i="8"/>
  <c r="D347" i="8"/>
  <c r="H120" i="8"/>
  <c r="G120" i="8"/>
  <c r="F120" i="8"/>
  <c r="I120" i="8" s="1"/>
  <c r="J120" i="8" s="1"/>
  <c r="P350" i="5" l="1"/>
  <c r="O349" i="5"/>
  <c r="E349" i="8"/>
  <c r="D348" i="8"/>
  <c r="K120" i="8"/>
  <c r="C121" i="8" s="1"/>
  <c r="P351" i="5" l="1"/>
  <c r="O350" i="5"/>
  <c r="E350" i="8"/>
  <c r="D349" i="8"/>
  <c r="H121" i="8"/>
  <c r="G121" i="8"/>
  <c r="F121" i="8"/>
  <c r="I121" i="8" s="1"/>
  <c r="J121" i="8" s="1"/>
  <c r="L120" i="8"/>
  <c r="P352" i="5" l="1"/>
  <c r="O351" i="5"/>
  <c r="E351" i="8"/>
  <c r="D350" i="8"/>
  <c r="K121" i="8"/>
  <c r="C122" i="8" s="1"/>
  <c r="P353" i="5" l="1"/>
  <c r="O352" i="5"/>
  <c r="L121" i="8"/>
  <c r="H122" i="8"/>
  <c r="F122" i="8"/>
  <c r="G122" i="8"/>
  <c r="E352" i="8"/>
  <c r="D351" i="8"/>
  <c r="P354" i="5" l="1"/>
  <c r="O353" i="5"/>
  <c r="I122" i="8"/>
  <c r="J122" i="8" s="1"/>
  <c r="K122" i="8" s="1"/>
  <c r="E353" i="8"/>
  <c r="D352" i="8"/>
  <c r="P355" i="5" l="1"/>
  <c r="O354" i="5"/>
  <c r="C123" i="8"/>
  <c r="L122" i="8"/>
  <c r="E354" i="8"/>
  <c r="D353" i="8"/>
  <c r="P356" i="5" l="1"/>
  <c r="O355" i="5"/>
  <c r="E355" i="8"/>
  <c r="D354" i="8"/>
  <c r="G123" i="8"/>
  <c r="H123" i="8"/>
  <c r="F123" i="8"/>
  <c r="I123" i="8" s="1"/>
  <c r="P357" i="5" l="1"/>
  <c r="O356" i="5"/>
  <c r="J123" i="8"/>
  <c r="K123" i="8" s="1"/>
  <c r="E356" i="8"/>
  <c r="D355" i="8"/>
  <c r="P358" i="5" l="1"/>
  <c r="O357" i="5"/>
  <c r="C124" i="8"/>
  <c r="L123" i="8"/>
  <c r="D356" i="8"/>
  <c r="E357" i="8"/>
  <c r="P359" i="5" l="1"/>
  <c r="O358" i="5"/>
  <c r="E358" i="8"/>
  <c r="D357" i="8"/>
  <c r="H124" i="8"/>
  <c r="F124" i="8"/>
  <c r="G124" i="8"/>
  <c r="P360" i="5" l="1"/>
  <c r="O359" i="5"/>
  <c r="I124" i="8"/>
  <c r="J124" i="8" s="1"/>
  <c r="K124" i="8" s="1"/>
  <c r="E359" i="8"/>
  <c r="D358" i="8"/>
  <c r="P361" i="5" l="1"/>
  <c r="O361" i="5" s="1"/>
  <c r="K3" i="5" s="1"/>
  <c r="O360" i="5"/>
  <c r="C125" i="8"/>
  <c r="L124" i="8"/>
  <c r="E360" i="8"/>
  <c r="D359" i="8"/>
  <c r="E361" i="8" l="1"/>
  <c r="D360" i="8"/>
  <c r="G125" i="8"/>
  <c r="H125" i="8"/>
  <c r="F125" i="8"/>
  <c r="I125" i="8" s="1"/>
  <c r="J125" i="8" l="1"/>
  <c r="K125" i="8" s="1"/>
  <c r="D361" i="8"/>
  <c r="C126" i="8" l="1"/>
  <c r="L125" i="8"/>
  <c r="F126" i="8" l="1"/>
  <c r="H126" i="8"/>
  <c r="G126" i="8"/>
  <c r="I126" i="8" l="1"/>
  <c r="J126" i="8" l="1"/>
  <c r="K126" i="8" s="1"/>
  <c r="C127" i="8" l="1"/>
  <c r="L126" i="8"/>
  <c r="G127" i="8" l="1"/>
  <c r="F127" i="8"/>
  <c r="H127" i="8"/>
  <c r="I127" i="8" l="1"/>
  <c r="J127" i="8" s="1"/>
  <c r="K127" i="8" s="1"/>
  <c r="C128" i="8" s="1"/>
  <c r="L127" i="8" l="1"/>
  <c r="H128" i="8"/>
  <c r="G128" i="8"/>
  <c r="F128" i="8"/>
  <c r="I128" i="8" l="1"/>
  <c r="J128" i="8" s="1"/>
  <c r="K128" i="8" s="1"/>
  <c r="C129" i="8" s="1"/>
  <c r="L128" i="8" l="1"/>
  <c r="H129" i="8"/>
  <c r="G129" i="8"/>
  <c r="F129" i="8"/>
  <c r="I129" i="8" l="1"/>
  <c r="J129" i="8" s="1"/>
  <c r="K129" i="8" l="1"/>
  <c r="C130" i="8" s="1"/>
  <c r="H130" i="8" s="1"/>
  <c r="G130" i="8" l="1"/>
  <c r="F130" i="8"/>
  <c r="L129" i="8"/>
  <c r="I130" i="8" l="1"/>
  <c r="J130" i="8" s="1"/>
  <c r="K130" i="8" s="1"/>
  <c r="C131" i="8" s="1"/>
  <c r="L130" i="8" l="1"/>
  <c r="G131" i="8"/>
  <c r="H131" i="8"/>
  <c r="F131" i="8"/>
  <c r="I131" i="8" l="1"/>
  <c r="J131" i="8" s="1"/>
  <c r="K131" i="8" l="1"/>
  <c r="C132" i="8" s="1"/>
  <c r="H132" i="8" s="1"/>
  <c r="G132" i="8" l="1"/>
  <c r="F132" i="8"/>
  <c r="L131" i="8"/>
  <c r="I132" i="8" l="1"/>
  <c r="J132" i="8" s="1"/>
  <c r="K132" i="8" s="1"/>
  <c r="C133" i="8" s="1"/>
  <c r="G133" i="8" s="1"/>
  <c r="F133" i="8" l="1"/>
  <c r="I133" i="8" s="1"/>
  <c r="J133" i="8" s="1"/>
  <c r="K133" i="8" s="1"/>
  <c r="C134" i="8" s="1"/>
  <c r="L132" i="8"/>
  <c r="H133" i="8"/>
  <c r="L133" i="8" l="1"/>
  <c r="F134" i="8"/>
  <c r="H134" i="8"/>
  <c r="G134" i="8"/>
  <c r="I134" i="8" l="1"/>
  <c r="J134" i="8" l="1"/>
  <c r="K134" i="8" s="1"/>
  <c r="C135" i="8" l="1"/>
  <c r="L134" i="8"/>
  <c r="G135" i="8" l="1"/>
  <c r="F135" i="8"/>
  <c r="H135" i="8"/>
  <c r="I135" i="8" l="1"/>
  <c r="J135" i="8" s="1"/>
  <c r="K135" i="8" s="1"/>
  <c r="C136" i="8" s="1"/>
  <c r="L135" i="8" l="1"/>
  <c r="H136" i="8"/>
  <c r="G136" i="8"/>
  <c r="F136" i="8"/>
  <c r="I136" i="8" l="1"/>
  <c r="J136" i="8" s="1"/>
  <c r="K136" i="8" l="1"/>
  <c r="C137" i="8" s="1"/>
  <c r="H137" i="8" s="1"/>
  <c r="F137" i="8" l="1"/>
  <c r="L136" i="8"/>
  <c r="G137" i="8"/>
  <c r="I137" i="8" l="1"/>
  <c r="J137" i="8" s="1"/>
  <c r="K137" i="8" s="1"/>
  <c r="C138" i="8" s="1"/>
  <c r="F138" i="8" s="1"/>
  <c r="G138" i="8" l="1"/>
  <c r="I138" i="8" s="1"/>
  <c r="J138" i="8" s="1"/>
  <c r="H138" i="8"/>
  <c r="L137" i="8"/>
  <c r="K138" i="8" l="1"/>
  <c r="C139" i="8" s="1"/>
  <c r="G139" i="8" s="1"/>
  <c r="F139" i="8" l="1"/>
  <c r="I139" i="8" s="1"/>
  <c r="J139" i="8" s="1"/>
  <c r="H139" i="8"/>
  <c r="L138" i="8"/>
  <c r="K139" i="8" l="1"/>
  <c r="C140" i="8" l="1"/>
  <c r="L139" i="8"/>
  <c r="F140" i="8" l="1"/>
  <c r="H140" i="8"/>
  <c r="G140" i="8"/>
  <c r="I140" i="8" l="1"/>
  <c r="J140" i="8" s="1"/>
  <c r="K140" i="8" l="1"/>
  <c r="C141" i="8" s="1"/>
  <c r="G141" i="8" s="1"/>
  <c r="F141" i="8" l="1"/>
  <c r="I141" i="8" s="1"/>
  <c r="J141" i="8" s="1"/>
  <c r="K141" i="8" s="1"/>
  <c r="C142" i="8" s="1"/>
  <c r="L140" i="8"/>
  <c r="H141" i="8"/>
  <c r="L141" i="8" l="1"/>
  <c r="F142" i="8"/>
  <c r="G142" i="8"/>
  <c r="H142" i="8"/>
  <c r="I142" i="8" l="1"/>
  <c r="J142" i="8" s="1"/>
  <c r="K142" i="8" s="1"/>
  <c r="C143" i="8" s="1"/>
  <c r="L142" i="8" l="1"/>
  <c r="G143" i="8"/>
  <c r="F143" i="8"/>
  <c r="H143" i="8"/>
  <c r="I143" i="8" l="1"/>
  <c r="J143" i="8" s="1"/>
  <c r="K143" i="8" l="1"/>
  <c r="C144" i="8" s="1"/>
  <c r="H144" i="8" s="1"/>
  <c r="L143" i="8" l="1"/>
  <c r="F144" i="8"/>
  <c r="G144" i="8"/>
  <c r="I144" i="8" l="1"/>
  <c r="J144" i="8" l="1"/>
  <c r="K144" i="8" s="1"/>
  <c r="C145" i="8" l="1"/>
  <c r="L144" i="8"/>
  <c r="H145" i="8" l="1"/>
  <c r="G145" i="8"/>
  <c r="F145" i="8"/>
  <c r="I145" i="8" l="1"/>
  <c r="J145" i="8" s="1"/>
  <c r="K145" i="8" s="1"/>
  <c r="C146" i="8" s="1"/>
  <c r="F146" i="8" l="1"/>
  <c r="H146" i="8"/>
  <c r="G146" i="8"/>
  <c r="L145" i="8"/>
  <c r="I146" i="8" l="1"/>
  <c r="J146" i="8" s="1"/>
  <c r="K146" i="8" s="1"/>
  <c r="C147" i="8" l="1"/>
  <c r="L146" i="8"/>
  <c r="G147" i="8" l="1"/>
  <c r="F147" i="8"/>
  <c r="H147" i="8"/>
  <c r="I147" i="8" l="1"/>
  <c r="J147" i="8" s="1"/>
  <c r="K147" i="8" s="1"/>
  <c r="C148" i="8" l="1"/>
  <c r="L147" i="8"/>
  <c r="F148" i="8" l="1"/>
  <c r="G148" i="8"/>
  <c r="H148" i="8"/>
  <c r="I148" i="8" l="1"/>
  <c r="J148" i="8" l="1"/>
  <c r="K148" i="8" s="1"/>
  <c r="C149" i="8" l="1"/>
  <c r="L148" i="8"/>
  <c r="F149" i="8" l="1"/>
  <c r="H149" i="8"/>
  <c r="G149" i="8"/>
  <c r="I149" i="8" l="1"/>
  <c r="J149" i="8" s="1"/>
  <c r="K149" i="8" s="1"/>
  <c r="C150" i="8" s="1"/>
  <c r="L149" i="8" l="1"/>
  <c r="G150" i="8"/>
  <c r="F150" i="8"/>
  <c r="H150" i="8"/>
  <c r="I150" i="8" l="1"/>
  <c r="J150" i="8" s="1"/>
  <c r="K150" i="8" s="1"/>
  <c r="C151" i="8" s="1"/>
  <c r="H151" i="8" l="1"/>
  <c r="G151" i="8"/>
  <c r="F151" i="8"/>
  <c r="L150" i="8"/>
  <c r="I151" i="8" l="1"/>
  <c r="J151" i="8" s="1"/>
  <c r="K151" i="8" s="1"/>
  <c r="C152" i="8" s="1"/>
  <c r="L151" i="8" l="1"/>
  <c r="H152" i="8"/>
  <c r="F152" i="8"/>
  <c r="G152" i="8"/>
  <c r="I152" i="8" l="1"/>
  <c r="J152" i="8" s="1"/>
  <c r="K152" i="8" s="1"/>
  <c r="C153" i="8" s="1"/>
  <c r="L152" i="8" l="1"/>
  <c r="H153" i="8"/>
  <c r="G153" i="8"/>
  <c r="F153" i="8"/>
  <c r="I153" i="8" l="1"/>
  <c r="J153" i="8" s="1"/>
  <c r="K153" i="8" s="1"/>
  <c r="C154" i="8" l="1"/>
  <c r="F154" i="8" s="1"/>
  <c r="L153" i="8"/>
  <c r="G154" i="8" l="1"/>
  <c r="I154" i="8" s="1"/>
  <c r="J154" i="8" s="1"/>
  <c r="K154" i="8" s="1"/>
  <c r="C155" i="8" s="1"/>
  <c r="H154" i="8"/>
  <c r="H155" i="8" l="1"/>
  <c r="F155" i="8"/>
  <c r="G155" i="8"/>
  <c r="L154" i="8"/>
  <c r="I155" i="8" l="1"/>
  <c r="J155" i="8" l="1"/>
  <c r="K155" i="8" s="1"/>
  <c r="C156" i="8" l="1"/>
  <c r="L155" i="8"/>
  <c r="H156" i="8" l="1"/>
  <c r="F156" i="8"/>
  <c r="G156" i="8"/>
  <c r="I156" i="8" l="1"/>
  <c r="J156" i="8" s="1"/>
  <c r="K156" i="8" s="1"/>
  <c r="C157" i="8" s="1"/>
  <c r="F157" i="8" s="1"/>
  <c r="L156" i="8" l="1"/>
  <c r="H157" i="8"/>
  <c r="G157" i="8"/>
  <c r="I157" i="8" s="1"/>
  <c r="J157" i="8" s="1"/>
  <c r="K157" i="8" s="1"/>
  <c r="C158" i="8" l="1"/>
  <c r="L157" i="8"/>
  <c r="F158" i="8" l="1"/>
  <c r="H158" i="8"/>
  <c r="G158" i="8"/>
  <c r="I158" i="8" l="1"/>
  <c r="J158" i="8" s="1"/>
  <c r="K158" i="8" s="1"/>
  <c r="C159" i="8" l="1"/>
  <c r="L158" i="8"/>
  <c r="F159" i="8" l="1"/>
  <c r="H159" i="8"/>
  <c r="G159" i="8"/>
  <c r="I159" i="8" l="1"/>
  <c r="J159" i="8" s="1"/>
  <c r="K159" i="8" s="1"/>
  <c r="C160" i="8" s="1"/>
  <c r="H160" i="8" l="1"/>
  <c r="F160" i="8"/>
  <c r="G160" i="8"/>
  <c r="L159" i="8"/>
  <c r="I160" i="8" l="1"/>
  <c r="J160" i="8" s="1"/>
  <c r="K160" i="8" l="1"/>
  <c r="C161" i="8" s="1"/>
  <c r="L160" i="8" l="1"/>
  <c r="F161" i="8"/>
  <c r="G161" i="8"/>
  <c r="H161" i="8"/>
  <c r="I161" i="8" l="1"/>
  <c r="J161" i="8" l="1"/>
  <c r="K161" i="8" s="1"/>
  <c r="C162" i="8" l="1"/>
  <c r="L161" i="8"/>
  <c r="H162" i="8" l="1"/>
  <c r="G162" i="8"/>
  <c r="F162" i="8"/>
  <c r="I162" i="8" l="1"/>
  <c r="J162" i="8" s="1"/>
  <c r="K162" i="8" s="1"/>
  <c r="C163" i="8" l="1"/>
  <c r="L162" i="8"/>
  <c r="H163" i="8" l="1"/>
  <c r="G163" i="8"/>
  <c r="F163" i="8"/>
  <c r="I163" i="8" l="1"/>
  <c r="J163" i="8" s="1"/>
  <c r="K163" i="8" s="1"/>
  <c r="C164" i="8" l="1"/>
  <c r="L163" i="8"/>
  <c r="F164" i="8" l="1"/>
  <c r="H164" i="8"/>
  <c r="G164" i="8"/>
  <c r="I164" i="8" l="1"/>
  <c r="J164" i="8" s="1"/>
  <c r="K164" i="8" s="1"/>
  <c r="C165" i="8" s="1"/>
  <c r="G165" i="8" l="1"/>
  <c r="F165" i="8"/>
  <c r="H165" i="8"/>
  <c r="L164" i="8"/>
  <c r="I165" i="8" l="1"/>
  <c r="J165" i="8" s="1"/>
  <c r="K165" i="8" s="1"/>
  <c r="C166" i="8" s="1"/>
  <c r="G166" i="8" l="1"/>
  <c r="F166" i="8"/>
  <c r="H166" i="8"/>
  <c r="L165" i="8"/>
  <c r="I166" i="8" l="1"/>
  <c r="J166" i="8" s="1"/>
  <c r="K166" i="8" s="1"/>
  <c r="C167" i="8" s="1"/>
  <c r="L166" i="8" l="1"/>
  <c r="G167" i="8"/>
  <c r="H167" i="8"/>
  <c r="F167" i="8"/>
  <c r="I167" i="8" l="1"/>
  <c r="J167" i="8" s="1"/>
  <c r="K167" i="8" s="1"/>
  <c r="C168" i="8" s="1"/>
  <c r="L167" i="8" l="1"/>
  <c r="G168" i="8"/>
  <c r="H168" i="8"/>
  <c r="F168" i="8"/>
  <c r="I168" i="8" l="1"/>
  <c r="J168" i="8"/>
  <c r="K168" i="8" s="1"/>
  <c r="C169" i="8" l="1"/>
  <c r="H169" i="8" s="1"/>
  <c r="L168" i="8"/>
  <c r="F169" i="8" l="1"/>
  <c r="G169" i="8"/>
  <c r="I169" i="8" l="1"/>
  <c r="J169" i="8" s="1"/>
  <c r="K169" i="8" s="1"/>
  <c r="C170" i="8" s="1"/>
  <c r="H170" i="8" s="1"/>
  <c r="F170" i="8" l="1"/>
  <c r="G170" i="8"/>
  <c r="L169" i="8"/>
  <c r="I170" i="8" l="1"/>
  <c r="J170" i="8" s="1"/>
  <c r="K170" i="8" s="1"/>
  <c r="C171" i="8" s="1"/>
  <c r="L170" i="8" l="1"/>
  <c r="H171" i="8"/>
  <c r="F171" i="8"/>
  <c r="G171" i="8"/>
  <c r="I171" i="8" l="1"/>
  <c r="J171" i="8" s="1"/>
  <c r="K171" i="8" s="1"/>
  <c r="C172" i="8" l="1"/>
  <c r="L171" i="8"/>
  <c r="H172" i="8" l="1"/>
  <c r="G172" i="8"/>
  <c r="F172" i="8"/>
  <c r="I172" i="8" s="1"/>
  <c r="J172" i="8" s="1"/>
  <c r="K172" i="8" l="1"/>
  <c r="C173" i="8" s="1"/>
  <c r="L172" i="8" l="1"/>
  <c r="G173" i="8"/>
  <c r="F173" i="8"/>
  <c r="H173" i="8"/>
  <c r="I173" i="8" l="1"/>
  <c r="J173" i="8" s="1"/>
  <c r="K173" i="8" l="1"/>
  <c r="C174" i="8" s="1"/>
  <c r="H174" i="8" s="1"/>
  <c r="L173" i="8" l="1"/>
  <c r="F174" i="8"/>
  <c r="G174" i="8"/>
  <c r="I174" i="8" l="1"/>
  <c r="J174" i="8" s="1"/>
  <c r="K174" i="8" s="1"/>
  <c r="C175" i="8" s="1"/>
  <c r="L174" i="8" l="1"/>
  <c r="F175" i="8"/>
  <c r="H175" i="8"/>
  <c r="G175" i="8"/>
  <c r="I175" i="8" l="1"/>
  <c r="J175" i="8" s="1"/>
  <c r="K175" i="8" s="1"/>
  <c r="C176" i="8" s="1"/>
  <c r="F176" i="8" s="1"/>
  <c r="L175" i="8" l="1"/>
  <c r="H176" i="8"/>
  <c r="G176" i="8"/>
  <c r="I176" i="8" s="1"/>
  <c r="J176" i="8" s="1"/>
  <c r="K176" i="8" s="1"/>
  <c r="C177" i="8" s="1"/>
  <c r="L176" i="8" l="1"/>
  <c r="H177" i="8"/>
  <c r="F177" i="8"/>
  <c r="G177" i="8"/>
  <c r="I177" i="8" l="1"/>
  <c r="J177" i="8" s="1"/>
  <c r="K177" i="8" s="1"/>
  <c r="C178" i="8" s="1"/>
  <c r="L177" i="8" l="1"/>
  <c r="H178" i="8"/>
  <c r="G178" i="8"/>
  <c r="F178" i="8"/>
  <c r="I178" i="8" l="1"/>
  <c r="J178" i="8" s="1"/>
  <c r="K178" i="8" s="1"/>
  <c r="L178" i="8" s="1"/>
  <c r="C179" i="8" l="1"/>
  <c r="H179" i="8" s="1"/>
  <c r="F179" i="8" l="1"/>
  <c r="G179" i="8"/>
  <c r="I179" i="8" l="1"/>
  <c r="J179" i="8" s="1"/>
  <c r="K179" i="8" s="1"/>
  <c r="C180" i="8" s="1"/>
  <c r="G180" i="8" s="1"/>
  <c r="F180" i="8" l="1"/>
  <c r="I180" i="8" s="1"/>
  <c r="J180" i="8" s="1"/>
  <c r="K180" i="8" s="1"/>
  <c r="C181" i="8" s="1"/>
  <c r="H180" i="8"/>
  <c r="L179" i="8"/>
  <c r="L180" i="8" l="1"/>
  <c r="H181" i="8"/>
  <c r="F181" i="8"/>
  <c r="G181" i="8"/>
  <c r="I181" i="8" l="1"/>
  <c r="J181" i="8" s="1"/>
  <c r="K181" i="8" s="1"/>
  <c r="C182" i="8" l="1"/>
  <c r="L181" i="8"/>
  <c r="G182" i="8" l="1"/>
  <c r="F182" i="8"/>
  <c r="H182" i="8"/>
  <c r="I182" i="8" l="1"/>
  <c r="J182" i="8" s="1"/>
  <c r="K182" i="8" s="1"/>
  <c r="C183" i="8" s="1"/>
  <c r="F183" i="8" s="1"/>
  <c r="H183" i="8" l="1"/>
  <c r="G183" i="8"/>
  <c r="I183" i="8" s="1"/>
  <c r="L182" i="8"/>
  <c r="J183" i="8" l="1"/>
  <c r="K183" i="8" s="1"/>
  <c r="C184" i="8" l="1"/>
  <c r="L183" i="8"/>
  <c r="G184" i="8" l="1"/>
  <c r="F184" i="8"/>
  <c r="H184" i="8"/>
  <c r="I184" i="8" l="1"/>
  <c r="J184" i="8" s="1"/>
  <c r="K184" i="8" l="1"/>
  <c r="C185" i="8" s="1"/>
  <c r="H185" i="8" s="1"/>
  <c r="L184" i="8" l="1"/>
  <c r="G185" i="8"/>
  <c r="F185" i="8"/>
  <c r="I185" i="8" l="1"/>
  <c r="J185" i="8" s="1"/>
  <c r="K185" i="8" l="1"/>
  <c r="C186" i="8" s="1"/>
  <c r="L185" i="8" l="1"/>
  <c r="H186" i="8"/>
  <c r="F186" i="8"/>
  <c r="G186" i="8"/>
  <c r="I186" i="8" l="1"/>
  <c r="J186" i="8" l="1"/>
  <c r="K186" i="8" s="1"/>
  <c r="C187" i="8" l="1"/>
  <c r="L186" i="8"/>
  <c r="F187" i="8" l="1"/>
  <c r="H187" i="8"/>
  <c r="G187" i="8"/>
  <c r="I187" i="8" l="1"/>
  <c r="J187" i="8" s="1"/>
  <c r="K187" i="8" s="1"/>
  <c r="C188" i="8" s="1"/>
  <c r="G188" i="8" l="1"/>
  <c r="H188" i="8"/>
  <c r="F188" i="8"/>
  <c r="L187" i="8"/>
  <c r="I188" i="8" l="1"/>
  <c r="J188" i="8" s="1"/>
  <c r="K188" i="8" s="1"/>
  <c r="C189" i="8" s="1"/>
  <c r="H189" i="8" s="1"/>
  <c r="L188" i="8" l="1"/>
  <c r="F189" i="8"/>
  <c r="G189" i="8"/>
  <c r="I189" i="8" l="1"/>
  <c r="J189" i="8" s="1"/>
  <c r="K189" i="8" s="1"/>
  <c r="C190" i="8" s="1"/>
  <c r="H190" i="8" s="1"/>
  <c r="L189" i="8" l="1"/>
  <c r="F190" i="8"/>
  <c r="G190" i="8"/>
  <c r="I190" i="8" l="1"/>
  <c r="J190" i="8" s="1"/>
  <c r="K190" i="8" s="1"/>
  <c r="C191" i="8" s="1"/>
  <c r="L190" i="8" l="1"/>
  <c r="F191" i="8"/>
  <c r="H191" i="8"/>
  <c r="G191" i="8"/>
  <c r="I191" i="8" l="1"/>
  <c r="J191" i="8" s="1"/>
  <c r="K191" i="8" s="1"/>
  <c r="L191" i="8" l="1"/>
  <c r="C192" i="8"/>
  <c r="F192" i="8" l="1"/>
  <c r="G192" i="8"/>
  <c r="H192" i="8"/>
  <c r="I192" i="8" l="1"/>
  <c r="J192" i="8" s="1"/>
  <c r="K192" i="8" s="1"/>
  <c r="C193" i="8" s="1"/>
  <c r="H193" i="8" s="1"/>
  <c r="F193" i="8" l="1"/>
  <c r="G193" i="8"/>
  <c r="L192" i="8"/>
  <c r="I193" i="8" l="1"/>
  <c r="J193" i="8" s="1"/>
  <c r="K193" i="8" s="1"/>
  <c r="C194" i="8" s="1"/>
  <c r="H194" i="8" s="1"/>
  <c r="F194" i="8" l="1"/>
  <c r="G194" i="8"/>
  <c r="L193" i="8"/>
  <c r="I194" i="8" l="1"/>
  <c r="J194" i="8" s="1"/>
  <c r="K194" i="8" s="1"/>
  <c r="C195" i="8" s="1"/>
  <c r="L194" i="8" l="1"/>
  <c r="H195" i="8"/>
  <c r="F195" i="8"/>
  <c r="G195" i="8"/>
  <c r="I195" i="8" l="1"/>
  <c r="J195" i="8" s="1"/>
  <c r="K195" i="8" s="1"/>
  <c r="C196" i="8" s="1"/>
  <c r="L195" i="8" l="1"/>
  <c r="G196" i="8"/>
  <c r="H196" i="8"/>
  <c r="F196" i="8"/>
  <c r="I196" i="8" l="1"/>
  <c r="J196" i="8"/>
  <c r="K196" i="8" s="1"/>
  <c r="C197" i="8" l="1"/>
  <c r="L196" i="8"/>
  <c r="H197" i="8" l="1"/>
  <c r="G197" i="8"/>
  <c r="F197" i="8"/>
  <c r="I197" i="8" l="1"/>
  <c r="J197" i="8" s="1"/>
  <c r="K197" i="8" s="1"/>
  <c r="C198" i="8" l="1"/>
  <c r="L197" i="8"/>
  <c r="H198" i="8" l="1"/>
  <c r="G198" i="8"/>
  <c r="F198" i="8"/>
  <c r="I198" i="8" l="1"/>
  <c r="J198" i="8" s="1"/>
  <c r="K198" i="8" l="1"/>
  <c r="C199" i="8" s="1"/>
  <c r="H199" i="8" s="1"/>
  <c r="G199" i="8" l="1"/>
  <c r="F199" i="8"/>
  <c r="L198" i="8"/>
  <c r="I199" i="8" l="1"/>
  <c r="J199" i="8" s="1"/>
  <c r="K199" i="8" s="1"/>
  <c r="C200" i="8" l="1"/>
  <c r="L199" i="8"/>
  <c r="G200" i="8" l="1"/>
  <c r="F200" i="8"/>
  <c r="H200" i="8"/>
  <c r="I200" i="8" l="1"/>
  <c r="J200" i="8" s="1"/>
  <c r="K200" i="8" s="1"/>
  <c r="C201" i="8" l="1"/>
  <c r="L200" i="8"/>
  <c r="H201" i="8" l="1"/>
  <c r="G201" i="8"/>
  <c r="F201" i="8"/>
  <c r="I201" i="8" l="1"/>
  <c r="J201" i="8" s="1"/>
  <c r="K201" i="8" l="1"/>
  <c r="C202" i="8" s="1"/>
  <c r="G202" i="8" s="1"/>
  <c r="F202" i="8" l="1"/>
  <c r="I202" i="8" s="1"/>
  <c r="J202" i="8" s="1"/>
  <c r="H202" i="8"/>
  <c r="L201" i="8"/>
  <c r="K202" i="8" l="1"/>
  <c r="C203" i="8" s="1"/>
  <c r="H203" i="8" s="1"/>
  <c r="G203" i="8" l="1"/>
  <c r="F203" i="8"/>
  <c r="L202" i="8"/>
  <c r="I203" i="8" l="1"/>
  <c r="J203" i="8" s="1"/>
  <c r="K203" i="8" l="1"/>
  <c r="C204" i="8" s="1"/>
  <c r="L203" i="8" l="1"/>
  <c r="F204" i="8"/>
  <c r="H204" i="8"/>
  <c r="G204" i="8"/>
  <c r="I204" i="8" l="1"/>
  <c r="J204" i="8" s="1"/>
  <c r="K204" i="8" s="1"/>
  <c r="L204" i="8" l="1"/>
  <c r="C205" i="8"/>
  <c r="F205" i="8" l="1"/>
  <c r="H205" i="8"/>
  <c r="G205" i="8"/>
  <c r="I205" i="8" l="1"/>
  <c r="J205" i="8" l="1"/>
  <c r="K205" i="8" s="1"/>
  <c r="C206" i="8" l="1"/>
  <c r="L205" i="8"/>
  <c r="F206" i="8" l="1"/>
  <c r="H206" i="8"/>
  <c r="G206" i="8"/>
  <c r="I206" i="8" l="1"/>
  <c r="J206" i="8" s="1"/>
  <c r="K206" i="8" s="1"/>
  <c r="C207" i="8" s="1"/>
  <c r="F207" i="8" l="1"/>
  <c r="H207" i="8"/>
  <c r="G207" i="8"/>
  <c r="L206" i="8"/>
  <c r="I207" i="8" l="1"/>
  <c r="J207" i="8" s="1"/>
  <c r="K207" i="8" s="1"/>
  <c r="L207" i="8" l="1"/>
  <c r="C208" i="8"/>
  <c r="G208" i="8" l="1"/>
  <c r="F208" i="8"/>
  <c r="H208" i="8"/>
  <c r="I208" i="8" l="1"/>
  <c r="J208" i="8" s="1"/>
  <c r="K208" i="8" l="1"/>
  <c r="C209" i="8" s="1"/>
  <c r="L208" i="8" l="1"/>
  <c r="F209" i="8"/>
  <c r="G209" i="8"/>
  <c r="H209" i="8"/>
  <c r="I209" i="8" l="1"/>
  <c r="J209" i="8" s="1"/>
  <c r="K209" i="8" s="1"/>
  <c r="C210" i="8" s="1"/>
  <c r="G210" i="8" l="1"/>
  <c r="H210" i="8"/>
  <c r="F210" i="8"/>
  <c r="L209" i="8"/>
  <c r="I210" i="8" l="1"/>
  <c r="J210" i="8" s="1"/>
  <c r="K210" i="8" s="1"/>
  <c r="C211" i="8" s="1"/>
  <c r="H211" i="8" s="1"/>
  <c r="G211" i="8" l="1"/>
  <c r="F211" i="8"/>
  <c r="L210" i="8"/>
  <c r="I211" i="8" l="1"/>
  <c r="J211" i="8" s="1"/>
  <c r="K211" i="8" s="1"/>
  <c r="C212" i="8" s="1"/>
  <c r="H212" i="8" s="1"/>
  <c r="F212" i="8" l="1"/>
  <c r="G212" i="8"/>
  <c r="L211" i="8"/>
  <c r="I212" i="8" l="1"/>
  <c r="J212" i="8" s="1"/>
  <c r="K212" i="8" s="1"/>
  <c r="C213" i="8" s="1"/>
  <c r="L212" i="8" l="1"/>
  <c r="F213" i="8"/>
  <c r="H213" i="8"/>
  <c r="G213" i="8"/>
  <c r="I213" i="8" l="1"/>
  <c r="J213" i="8" l="1"/>
  <c r="K213" i="8" s="1"/>
  <c r="C214" i="8" l="1"/>
  <c r="L213" i="8"/>
  <c r="F214" i="8" l="1"/>
  <c r="H214" i="8"/>
  <c r="G214" i="8"/>
  <c r="I214" i="8" l="1"/>
  <c r="J214" i="8" l="1"/>
  <c r="K214" i="8" s="1"/>
  <c r="C215" i="8" l="1"/>
  <c r="L214" i="8"/>
  <c r="G215" i="8" l="1"/>
  <c r="F215" i="8"/>
  <c r="H215" i="8"/>
  <c r="I215" i="8" l="1"/>
  <c r="J215" i="8" s="1"/>
  <c r="K215" i="8" s="1"/>
  <c r="C216" i="8" s="1"/>
  <c r="H216" i="8" l="1"/>
  <c r="G216" i="8"/>
  <c r="F216" i="8"/>
  <c r="I216" i="8" s="1"/>
  <c r="J216" i="8" s="1"/>
  <c r="L215" i="8"/>
  <c r="K216" i="8" l="1"/>
  <c r="C217" i="8" s="1"/>
  <c r="L216" i="8" l="1"/>
  <c r="F217" i="8"/>
  <c r="H217" i="8"/>
  <c r="G217" i="8"/>
  <c r="I217" i="8" l="1"/>
  <c r="J217" i="8" l="1"/>
  <c r="K217" i="8" s="1"/>
  <c r="C218" i="8" l="1"/>
  <c r="L217" i="8"/>
  <c r="G218" i="8" l="1"/>
  <c r="F218" i="8"/>
  <c r="H218" i="8"/>
  <c r="I218" i="8" l="1"/>
  <c r="J218" i="8" s="1"/>
  <c r="K218" i="8" s="1"/>
  <c r="C219" i="8" s="1"/>
  <c r="L218" i="8" l="1"/>
  <c r="H219" i="8"/>
  <c r="G219" i="8"/>
  <c r="F219" i="8"/>
  <c r="I219" i="8" l="1"/>
  <c r="J219" i="8" s="1"/>
  <c r="K219" i="8" s="1"/>
  <c r="C220" i="8" s="1"/>
  <c r="L219" i="8" l="1"/>
  <c r="H220" i="8"/>
  <c r="G220" i="8"/>
  <c r="F220" i="8"/>
  <c r="I220" i="8" l="1"/>
  <c r="J220" i="8" s="1"/>
  <c r="K220" i="8" l="1"/>
  <c r="C221" i="8" s="1"/>
  <c r="H221" i="8" s="1"/>
  <c r="G221" i="8" l="1"/>
  <c r="F221" i="8"/>
  <c r="L220" i="8"/>
  <c r="I221" i="8" l="1"/>
  <c r="J221" i="8" s="1"/>
  <c r="K221" i="8" s="1"/>
  <c r="C222" i="8" s="1"/>
  <c r="G222" i="8" s="1"/>
  <c r="H222" i="8" l="1"/>
  <c r="F222" i="8"/>
  <c r="I222" i="8" s="1"/>
  <c r="J222" i="8" s="1"/>
  <c r="K222" i="8" s="1"/>
  <c r="C223" i="8" s="1"/>
  <c r="L221" i="8"/>
  <c r="H223" i="8" l="1"/>
  <c r="G223" i="8"/>
  <c r="F223" i="8"/>
  <c r="I223" i="8" s="1"/>
  <c r="J223" i="8" s="1"/>
  <c r="L222" i="8"/>
  <c r="K223" i="8" l="1"/>
  <c r="C224" i="8" s="1"/>
  <c r="L223" i="8" l="1"/>
  <c r="H224" i="8"/>
  <c r="G224" i="8"/>
  <c r="F224" i="8"/>
  <c r="I224" i="8" l="1"/>
  <c r="J224" i="8" s="1"/>
  <c r="K224" i="8" s="1"/>
  <c r="C225" i="8" s="1"/>
  <c r="L224" i="8" l="1"/>
  <c r="F225" i="8"/>
  <c r="H225" i="8"/>
  <c r="G225" i="8"/>
  <c r="I225" i="8" l="1"/>
  <c r="J225" i="8" l="1"/>
  <c r="K225" i="8" s="1"/>
  <c r="C226" i="8" l="1"/>
  <c r="L225" i="8"/>
  <c r="G226" i="8" l="1"/>
  <c r="F226" i="8"/>
  <c r="H226" i="8"/>
  <c r="I226" i="8" l="1"/>
  <c r="J226" i="8" s="1"/>
  <c r="K226" i="8" s="1"/>
  <c r="C227" i="8" s="1"/>
  <c r="H227" i="8" l="1"/>
  <c r="G227" i="8"/>
  <c r="F227" i="8"/>
  <c r="L226" i="8"/>
  <c r="I227" i="8" l="1"/>
  <c r="J227" i="8" s="1"/>
  <c r="K227" i="8" l="1"/>
  <c r="C228" i="8" s="1"/>
  <c r="H228" i="8" s="1"/>
  <c r="F228" i="8" l="1"/>
  <c r="G228" i="8"/>
  <c r="L227" i="8"/>
  <c r="I228" i="8" l="1"/>
  <c r="J228" i="8" s="1"/>
  <c r="K228" i="8" l="1"/>
  <c r="C229" i="8" s="1"/>
  <c r="H229" i="8" s="1"/>
  <c r="L228" i="8" l="1"/>
  <c r="G229" i="8"/>
  <c r="F229" i="8"/>
  <c r="I229" i="8" s="1"/>
  <c r="J229" i="8" s="1"/>
  <c r="K229" i="8" l="1"/>
  <c r="C230" i="8" l="1"/>
  <c r="L229" i="8"/>
  <c r="F230" i="8" l="1"/>
  <c r="H230" i="8"/>
  <c r="G230" i="8"/>
  <c r="I230" i="8" l="1"/>
  <c r="J230" i="8" s="1"/>
  <c r="K230" i="8" s="1"/>
  <c r="C231" i="8" s="1"/>
  <c r="H231" i="8" l="1"/>
  <c r="G231" i="8"/>
  <c r="F231" i="8"/>
  <c r="L230" i="8"/>
  <c r="I231" i="8" l="1"/>
  <c r="J231" i="8" s="1"/>
  <c r="K231" i="8" s="1"/>
  <c r="C232" i="8" s="1"/>
  <c r="L231" i="8" l="1"/>
  <c r="G232" i="8"/>
  <c r="F232" i="8"/>
  <c r="I232" i="8" s="1"/>
  <c r="H232" i="8"/>
  <c r="J232" i="8" l="1"/>
  <c r="K232" i="8" s="1"/>
  <c r="C233" i="8" s="1"/>
  <c r="L232" i="8" l="1"/>
  <c r="F233" i="8"/>
  <c r="H233" i="8"/>
  <c r="G233" i="8"/>
  <c r="I233" i="8" l="1"/>
  <c r="J233" i="8" s="1"/>
  <c r="K233" i="8" s="1"/>
  <c r="C234" i="8" l="1"/>
  <c r="L233" i="8"/>
  <c r="F234" i="8" l="1"/>
  <c r="G234" i="8"/>
  <c r="H234" i="8"/>
  <c r="I234" i="8" l="1"/>
  <c r="J234" i="8" l="1"/>
  <c r="K234" i="8" s="1"/>
  <c r="C235" i="8" l="1"/>
  <c r="L234" i="8"/>
  <c r="F235" i="8" l="1"/>
  <c r="H235" i="8"/>
  <c r="G235" i="8"/>
  <c r="I235" i="8" l="1"/>
  <c r="J235" i="8" s="1"/>
  <c r="K235" i="8" s="1"/>
  <c r="C236" i="8" s="1"/>
  <c r="G236" i="8" l="1"/>
  <c r="F236" i="8"/>
  <c r="H236" i="8"/>
  <c r="L235" i="8"/>
  <c r="I236" i="8" l="1"/>
  <c r="J236" i="8" s="1"/>
  <c r="K236" i="8" s="1"/>
  <c r="C237" i="8" s="1"/>
  <c r="H237" i="8" l="1"/>
  <c r="F237" i="8"/>
  <c r="G237" i="8"/>
  <c r="L236" i="8"/>
  <c r="I237" i="8" l="1"/>
  <c r="J237" i="8" s="1"/>
  <c r="K237" i="8" s="1"/>
  <c r="C238" i="8" s="1"/>
  <c r="L237" i="8" l="1"/>
  <c r="G238" i="8"/>
  <c r="F238" i="8"/>
  <c r="H238" i="8"/>
  <c r="I238" i="8" l="1"/>
  <c r="J238" i="8" s="1"/>
  <c r="K238" i="8" s="1"/>
  <c r="C239" i="8" l="1"/>
  <c r="L238" i="8"/>
  <c r="H239" i="8" l="1"/>
  <c r="G239" i="8"/>
  <c r="F239" i="8"/>
  <c r="I239" i="8" s="1"/>
  <c r="J239" i="8" s="1"/>
  <c r="K239" i="8" s="1"/>
  <c r="C240" i="8" s="1"/>
  <c r="H240" i="8" l="1"/>
  <c r="G240" i="8"/>
  <c r="F240" i="8"/>
  <c r="L239" i="8"/>
  <c r="I240" i="8" l="1"/>
  <c r="J240" i="8" s="1"/>
  <c r="K240" i="8" s="1"/>
  <c r="C241" i="8" s="1"/>
  <c r="H241" i="8" s="1"/>
  <c r="F241" i="8" l="1"/>
  <c r="L240" i="8"/>
  <c r="G241" i="8"/>
  <c r="I241" i="8" l="1"/>
  <c r="J241" i="8" s="1"/>
  <c r="K241" i="8" s="1"/>
  <c r="C242" i="8" s="1"/>
  <c r="L241" i="8" l="1"/>
  <c r="G242" i="8"/>
  <c r="F242" i="8"/>
  <c r="H242" i="8"/>
  <c r="I242" i="8" l="1"/>
  <c r="J242" i="8" s="1"/>
  <c r="K242" i="8" l="1"/>
  <c r="C243" i="8" s="1"/>
  <c r="H243" i="8" s="1"/>
  <c r="L242" i="8" l="1"/>
  <c r="F243" i="8"/>
  <c r="G243" i="8"/>
  <c r="I243" i="8" l="1"/>
  <c r="J243" i="8" s="1"/>
  <c r="K243" i="8" s="1"/>
  <c r="C244" i="8" s="1"/>
  <c r="L243" i="8" l="1"/>
  <c r="H244" i="8"/>
  <c r="G244" i="8"/>
  <c r="F244" i="8"/>
  <c r="I244" i="8" s="1"/>
  <c r="J244" i="8" s="1"/>
  <c r="K244" i="8" l="1"/>
  <c r="C245" i="8" s="1"/>
  <c r="L244" i="8" l="1"/>
  <c r="H245" i="8"/>
  <c r="G245" i="8"/>
  <c r="F245" i="8"/>
  <c r="I245" i="8" l="1"/>
  <c r="J245" i="8" s="1"/>
  <c r="K245" i="8" s="1"/>
  <c r="C246" i="8" l="1"/>
  <c r="L245" i="8"/>
  <c r="H246" i="8" l="1"/>
  <c r="G246" i="8"/>
  <c r="F246" i="8"/>
  <c r="I246" i="8" l="1"/>
  <c r="J246" i="8" s="1"/>
  <c r="K246" i="8" s="1"/>
  <c r="C247" i="8" l="1"/>
  <c r="L246" i="8"/>
  <c r="H247" i="8" l="1"/>
  <c r="G247" i="8"/>
  <c r="F247" i="8"/>
  <c r="I247" i="8" l="1"/>
  <c r="J247" i="8" s="1"/>
  <c r="K247" i="8" l="1"/>
  <c r="C248" i="8" s="1"/>
  <c r="H248" i="8" s="1"/>
  <c r="L247" i="8" l="1"/>
  <c r="F248" i="8"/>
  <c r="G248" i="8"/>
  <c r="I248" i="8" l="1"/>
  <c r="J248" i="8" s="1"/>
  <c r="K248" i="8" s="1"/>
  <c r="C249" i="8" s="1"/>
  <c r="L248" i="8" l="1"/>
  <c r="F249" i="8"/>
  <c r="H249" i="8"/>
  <c r="G249" i="8"/>
  <c r="I249" i="8" l="1"/>
  <c r="J249" i="8" l="1"/>
  <c r="K249" i="8" s="1"/>
  <c r="C250" i="8" l="1"/>
  <c r="L249" i="8"/>
  <c r="G250" i="8" l="1"/>
  <c r="F250" i="8"/>
  <c r="H250" i="8"/>
  <c r="I250" i="8" l="1"/>
  <c r="J250" i="8" s="1"/>
  <c r="K250" i="8" s="1"/>
  <c r="C251" i="8" l="1"/>
  <c r="L250" i="8"/>
  <c r="H251" i="8" l="1"/>
  <c r="G251" i="8"/>
  <c r="F251" i="8"/>
  <c r="I251" i="8" s="1"/>
  <c r="J251" i="8" s="1"/>
  <c r="K251" i="8" l="1"/>
  <c r="C252" i="8" s="1"/>
  <c r="L251" i="8" l="1"/>
  <c r="H252" i="8"/>
  <c r="G252" i="8"/>
  <c r="F252" i="8"/>
  <c r="I252" i="8" l="1"/>
  <c r="J252" i="8" s="1"/>
  <c r="K252" i="8" s="1"/>
  <c r="C253" i="8" s="1"/>
  <c r="L252" i="8" l="1"/>
  <c r="F253" i="8"/>
  <c r="H253" i="8"/>
  <c r="G253" i="8"/>
  <c r="I253" i="8" l="1"/>
  <c r="J253" i="8" l="1"/>
  <c r="K253" i="8" s="1"/>
  <c r="C254" i="8" l="1"/>
  <c r="L253" i="8"/>
  <c r="G254" i="8" l="1"/>
  <c r="F254" i="8"/>
  <c r="H254" i="8"/>
  <c r="I254" i="8" l="1"/>
  <c r="J254" i="8" s="1"/>
  <c r="K254" i="8" s="1"/>
  <c r="C255" i="8" s="1"/>
  <c r="H255" i="8" l="1"/>
  <c r="G255" i="8"/>
  <c r="F255" i="8"/>
  <c r="L254" i="8"/>
  <c r="I255" i="8" l="1"/>
  <c r="J255" i="8" s="1"/>
  <c r="K255" i="8" s="1"/>
  <c r="C256" i="8" l="1"/>
  <c r="L255" i="8"/>
  <c r="H256" i="8" l="1"/>
  <c r="G256" i="8"/>
  <c r="F256" i="8"/>
  <c r="I256" i="8" l="1"/>
  <c r="J256" i="8" s="1"/>
  <c r="K256" i="8" s="1"/>
  <c r="C257" i="8" l="1"/>
  <c r="L256" i="8"/>
  <c r="F257" i="8" l="1"/>
  <c r="H257" i="8"/>
  <c r="G257" i="8"/>
  <c r="I257" i="8" l="1"/>
  <c r="J257" i="8" l="1"/>
  <c r="K257" i="8" s="1"/>
  <c r="C258" i="8" l="1"/>
  <c r="L257" i="8"/>
  <c r="H258" i="8" l="1"/>
  <c r="G258" i="8"/>
  <c r="F258" i="8"/>
  <c r="I258" i="8" s="1"/>
  <c r="J258" i="8" s="1"/>
  <c r="K258" i="8" l="1"/>
  <c r="C259" i="8" s="1"/>
  <c r="L258" i="8" l="1"/>
  <c r="H259" i="8"/>
  <c r="G259" i="8"/>
  <c r="F259" i="8"/>
  <c r="I259" i="8" l="1"/>
  <c r="J259" i="8" s="1"/>
  <c r="K259" i="8" s="1"/>
  <c r="C260" i="8" s="1"/>
  <c r="F260" i="8" l="1"/>
  <c r="H260" i="8"/>
  <c r="G260" i="8"/>
  <c r="L259" i="8"/>
  <c r="I260" i="8" l="1"/>
  <c r="J260" i="8" l="1"/>
  <c r="K260" i="8" s="1"/>
  <c r="C261" i="8" l="1"/>
  <c r="L260" i="8"/>
  <c r="F261" i="8" l="1"/>
  <c r="G261" i="8"/>
  <c r="H261" i="8"/>
  <c r="I261" i="8" l="1"/>
  <c r="J261" i="8" l="1"/>
  <c r="K261" i="8" s="1"/>
  <c r="C262" i="8" l="1"/>
  <c r="L261" i="8"/>
  <c r="G262" i="8" l="1"/>
  <c r="F262" i="8"/>
  <c r="H262" i="8"/>
  <c r="I262" i="8" l="1"/>
  <c r="J262" i="8" s="1"/>
  <c r="K262" i="8" s="1"/>
  <c r="C263" i="8" l="1"/>
  <c r="L262" i="8"/>
  <c r="H263" i="8" l="1"/>
  <c r="G263" i="8"/>
  <c r="F263" i="8"/>
  <c r="I263" i="8" s="1"/>
  <c r="J263" i="8" s="1"/>
  <c r="K263" i="8" l="1"/>
  <c r="C264" i="8" s="1"/>
  <c r="L263" i="8" l="1"/>
  <c r="H264" i="8"/>
  <c r="G264" i="8"/>
  <c r="F264" i="8"/>
  <c r="I264" i="8" l="1"/>
  <c r="J264" i="8" s="1"/>
  <c r="K264" i="8" l="1"/>
  <c r="C265" i="8" s="1"/>
  <c r="H265" i="8" s="1"/>
  <c r="F265" i="8" l="1"/>
  <c r="G265" i="8"/>
  <c r="L264" i="8"/>
  <c r="I265" i="8" l="1"/>
  <c r="J265" i="8" s="1"/>
  <c r="K265" i="8" s="1"/>
  <c r="C266" i="8" s="1"/>
  <c r="L265" i="8" l="1"/>
  <c r="H266" i="8"/>
  <c r="G266" i="8"/>
  <c r="F266" i="8"/>
  <c r="I266" i="8" s="1"/>
  <c r="J266" i="8" l="1"/>
  <c r="K266" i="8" s="1"/>
  <c r="C267" i="8" l="1"/>
  <c r="L266" i="8"/>
  <c r="H267" i="8" l="1"/>
  <c r="G267" i="8"/>
  <c r="F267" i="8"/>
  <c r="I267" i="8" l="1"/>
  <c r="J267" i="8" s="1"/>
  <c r="K267" i="8" s="1"/>
  <c r="C268" i="8" s="1"/>
  <c r="L267" i="8" l="1"/>
  <c r="H268" i="8"/>
  <c r="F268" i="8"/>
  <c r="G268" i="8"/>
  <c r="I268" i="8" l="1"/>
  <c r="J268" i="8" s="1"/>
  <c r="K268" i="8" s="1"/>
  <c r="C269" i="8" l="1"/>
  <c r="L268" i="8"/>
  <c r="F269" i="8" l="1"/>
  <c r="G269" i="8"/>
  <c r="H269" i="8"/>
  <c r="I269" i="8" l="1"/>
  <c r="J269" i="8" l="1"/>
  <c r="K269" i="8" s="1"/>
  <c r="C270" i="8" l="1"/>
  <c r="L269" i="8"/>
  <c r="G270" i="8" l="1"/>
  <c r="F270" i="8"/>
  <c r="H270" i="8"/>
  <c r="I270" i="8" l="1"/>
  <c r="J270" i="8" s="1"/>
  <c r="K270" i="8" s="1"/>
  <c r="C271" i="8" l="1"/>
  <c r="L270" i="8"/>
  <c r="H271" i="8" l="1"/>
  <c r="G271" i="8"/>
  <c r="F271" i="8"/>
  <c r="I271" i="8" l="1"/>
  <c r="J271" i="8" s="1"/>
  <c r="K271" i="8" l="1"/>
  <c r="C272" i="8" s="1"/>
  <c r="H272" i="8" s="1"/>
  <c r="F272" i="8" l="1"/>
  <c r="G272" i="8"/>
  <c r="L271" i="8"/>
  <c r="I272" i="8" l="1"/>
  <c r="J272" i="8" s="1"/>
  <c r="K272" i="8" s="1"/>
  <c r="C273" i="8" s="1"/>
  <c r="H273" i="8" l="1"/>
  <c r="G273" i="8"/>
  <c r="F273" i="8"/>
  <c r="I273" i="8" s="1"/>
  <c r="J273" i="8" s="1"/>
  <c r="K273" i="8" s="1"/>
  <c r="L272" i="8"/>
  <c r="C274" i="8" l="1"/>
  <c r="L273" i="8"/>
  <c r="H274" i="8" l="1"/>
  <c r="G274" i="8"/>
  <c r="F274" i="8"/>
  <c r="I274" i="8" l="1"/>
  <c r="J274" i="8" s="1"/>
  <c r="K274" i="8" l="1"/>
  <c r="C275" i="8" s="1"/>
  <c r="G275" i="8" s="1"/>
  <c r="H275" i="8" l="1"/>
  <c r="F275" i="8"/>
  <c r="I275" i="8" s="1"/>
  <c r="J275" i="8" s="1"/>
  <c r="K275" i="8" s="1"/>
  <c r="L274" i="8"/>
  <c r="C276" i="8" l="1"/>
  <c r="L275" i="8"/>
  <c r="H276" i="8" l="1"/>
  <c r="F276" i="8"/>
  <c r="G276" i="8"/>
  <c r="I276" i="8" l="1"/>
  <c r="J276" i="8" s="1"/>
  <c r="K276" i="8" s="1"/>
  <c r="C277" i="8" s="1"/>
  <c r="L276" i="8" l="1"/>
  <c r="H277" i="8"/>
  <c r="G277" i="8"/>
  <c r="F277" i="8"/>
  <c r="I277" i="8" s="1"/>
  <c r="J277" i="8" l="1"/>
  <c r="K277" i="8" s="1"/>
  <c r="C278" i="8" l="1"/>
  <c r="L277" i="8"/>
  <c r="F278" i="8" l="1"/>
  <c r="H278" i="8"/>
  <c r="G278" i="8"/>
  <c r="I278" i="8" l="1"/>
  <c r="J278" i="8" s="1"/>
  <c r="K278" i="8" s="1"/>
  <c r="C279" i="8" l="1"/>
  <c r="L278" i="8"/>
  <c r="G279" i="8" l="1"/>
  <c r="H279" i="8"/>
  <c r="F279" i="8"/>
  <c r="I279" i="8" l="1"/>
  <c r="J279" i="8" s="1"/>
  <c r="K279" i="8" s="1"/>
  <c r="C280" i="8" l="1"/>
  <c r="L279" i="8"/>
  <c r="H280" i="8" l="1"/>
  <c r="F280" i="8"/>
  <c r="G280" i="8"/>
  <c r="I280" i="8" l="1"/>
  <c r="J280" i="8" s="1"/>
  <c r="K280" i="8" s="1"/>
  <c r="C281" i="8" l="1"/>
  <c r="L280" i="8"/>
  <c r="H281" i="8" l="1"/>
  <c r="G281" i="8"/>
  <c r="F281" i="8"/>
  <c r="I281" i="8" s="1"/>
  <c r="J281" i="8" s="1"/>
  <c r="K281" i="8" l="1"/>
  <c r="C282" i="8" s="1"/>
  <c r="L281" i="8" l="1"/>
  <c r="F282" i="8"/>
  <c r="G282" i="8"/>
  <c r="H282" i="8"/>
  <c r="I282" i="8" l="1"/>
  <c r="J282" i="8" l="1"/>
  <c r="K282" i="8" s="1"/>
  <c r="C283" i="8" l="1"/>
  <c r="L282" i="8"/>
  <c r="G283" i="8" l="1"/>
  <c r="H283" i="8"/>
  <c r="F283" i="8"/>
  <c r="I283" i="8" l="1"/>
  <c r="J283" i="8" s="1"/>
  <c r="K283" i="8" s="1"/>
  <c r="C284" i="8" l="1"/>
  <c r="L283" i="8"/>
  <c r="H284" i="8" l="1"/>
  <c r="G284" i="8"/>
  <c r="F284" i="8"/>
  <c r="I284" i="8" l="1"/>
  <c r="J284" i="8" s="1"/>
  <c r="K284" i="8" s="1"/>
  <c r="C285" i="8" s="1"/>
  <c r="L284" i="8" l="1"/>
  <c r="F285" i="8"/>
  <c r="H285" i="8"/>
  <c r="G285" i="8"/>
  <c r="I285" i="8" l="1"/>
  <c r="J285" i="8" l="1"/>
  <c r="K285" i="8" s="1"/>
  <c r="C286" i="8" l="1"/>
  <c r="L285" i="8"/>
  <c r="G286" i="8" l="1"/>
  <c r="F286" i="8"/>
  <c r="H286" i="8"/>
  <c r="I286" i="8" l="1"/>
  <c r="J286" i="8" s="1"/>
  <c r="K286" i="8" s="1"/>
  <c r="C287" i="8" s="1"/>
  <c r="H287" i="8" l="1"/>
  <c r="G287" i="8"/>
  <c r="F287" i="8"/>
  <c r="I287" i="8" s="1"/>
  <c r="J287" i="8" s="1"/>
  <c r="L286" i="8"/>
  <c r="K287" i="8" l="1"/>
  <c r="C288" i="8" s="1"/>
  <c r="L287" i="8" l="1"/>
  <c r="H288" i="8"/>
  <c r="G288" i="8"/>
  <c r="F288" i="8"/>
  <c r="I288" i="8" s="1"/>
  <c r="J288" i="8" s="1"/>
  <c r="K288" i="8" l="1"/>
  <c r="C289" i="8" s="1"/>
  <c r="L288" i="8" l="1"/>
  <c r="H289" i="8"/>
  <c r="G289" i="8"/>
  <c r="F289" i="8"/>
  <c r="I289" i="8" s="1"/>
  <c r="J289" i="8" s="1"/>
  <c r="K289" i="8" l="1"/>
  <c r="C290" i="8" s="1"/>
  <c r="L289" i="8" l="1"/>
  <c r="F290" i="8"/>
  <c r="H290" i="8"/>
  <c r="G290" i="8"/>
  <c r="I290" i="8" l="1"/>
  <c r="J290" i="8" l="1"/>
  <c r="K290" i="8" s="1"/>
  <c r="C291" i="8" l="1"/>
  <c r="L290" i="8"/>
  <c r="G291" i="8" l="1"/>
  <c r="F291" i="8"/>
  <c r="H291" i="8"/>
  <c r="I291" i="8" l="1"/>
  <c r="J291" i="8" s="1"/>
  <c r="K291" i="8" s="1"/>
  <c r="C292" i="8" l="1"/>
  <c r="L291" i="8"/>
  <c r="H292" i="8" l="1"/>
  <c r="F292" i="8"/>
  <c r="G292" i="8"/>
  <c r="I292" i="8" l="1"/>
  <c r="J292" i="8" s="1"/>
  <c r="K292" i="8" s="1"/>
  <c r="C293" i="8" l="1"/>
  <c r="L292" i="8"/>
  <c r="F293" i="8" l="1"/>
  <c r="H293" i="8"/>
  <c r="G293" i="8"/>
  <c r="I293" i="8" l="1"/>
  <c r="J293" i="8" s="1"/>
  <c r="K293" i="8" s="1"/>
  <c r="C294" i="8" s="1"/>
  <c r="G294" i="8" l="1"/>
  <c r="F294" i="8"/>
  <c r="H294" i="8"/>
  <c r="L293" i="8"/>
  <c r="I294" i="8" l="1"/>
  <c r="J294" i="8" s="1"/>
  <c r="K294" i="8" s="1"/>
  <c r="C295" i="8" l="1"/>
  <c r="L294" i="8"/>
  <c r="H295" i="8" l="1"/>
  <c r="G295" i="8"/>
  <c r="F295" i="8"/>
  <c r="I295" i="8" s="1"/>
  <c r="J295" i="8" l="1"/>
  <c r="K295" i="8" s="1"/>
  <c r="C296" i="8" l="1"/>
  <c r="L295" i="8"/>
  <c r="H296" i="8" l="1"/>
  <c r="G296" i="8"/>
  <c r="F296" i="8"/>
  <c r="I296" i="8" l="1"/>
  <c r="J296" i="8" s="1"/>
  <c r="K296" i="8" l="1"/>
  <c r="C297" i="8" s="1"/>
  <c r="H297" i="8" s="1"/>
  <c r="L296" i="8" l="1"/>
  <c r="F297" i="8"/>
  <c r="G297" i="8"/>
  <c r="I297" i="8" l="1"/>
  <c r="J297" i="8" s="1"/>
  <c r="K297" i="8" s="1"/>
  <c r="C298" i="8" s="1"/>
  <c r="F298" i="8" s="1"/>
  <c r="L297" i="8" l="1"/>
  <c r="H298" i="8"/>
  <c r="G298" i="8"/>
  <c r="I298" i="8" s="1"/>
  <c r="J298" i="8" s="1"/>
  <c r="K298" i="8" l="1"/>
  <c r="C299" i="8" s="1"/>
  <c r="G299" i="8" s="1"/>
  <c r="L298" i="8" l="1"/>
  <c r="F299" i="8"/>
  <c r="I299" i="8" s="1"/>
  <c r="H299" i="8"/>
  <c r="J299" i="8" l="1"/>
  <c r="K299" i="8" s="1"/>
  <c r="C300" i="8" l="1"/>
  <c r="L299" i="8"/>
  <c r="G300" i="8" l="1"/>
  <c r="H300" i="8"/>
  <c r="F300" i="8"/>
  <c r="I300" i="8" l="1"/>
  <c r="J300" i="8" s="1"/>
  <c r="K300" i="8" s="1"/>
  <c r="L300" i="8" s="1"/>
  <c r="C301" i="8" l="1"/>
  <c r="F301" i="8" s="1"/>
  <c r="H301" i="8" l="1"/>
  <c r="G301" i="8"/>
  <c r="I301" i="8" s="1"/>
  <c r="J301" i="8" s="1"/>
  <c r="K301" i="8" s="1"/>
  <c r="C302" i="8" l="1"/>
  <c r="L301" i="8"/>
  <c r="G302" i="8" l="1"/>
  <c r="F302" i="8"/>
  <c r="H302" i="8"/>
  <c r="I302" i="8" l="1"/>
  <c r="J302" i="8" s="1"/>
  <c r="K302" i="8" l="1"/>
  <c r="C303" i="8" s="1"/>
  <c r="H303" i="8" s="1"/>
  <c r="L302" i="8" l="1"/>
  <c r="F303" i="8"/>
  <c r="G303" i="8"/>
  <c r="I303" i="8" l="1"/>
  <c r="J303" i="8" s="1"/>
  <c r="K303" i="8" s="1"/>
  <c r="L303" i="8" s="1"/>
  <c r="C304" i="8" l="1"/>
  <c r="H304" i="8" s="1"/>
  <c r="F304" i="8" l="1"/>
  <c r="G304" i="8"/>
  <c r="I304" i="8" l="1"/>
  <c r="J304" i="8" s="1"/>
  <c r="K304" i="8" s="1"/>
  <c r="C305" i="8" s="1"/>
  <c r="L304" i="8" l="1"/>
  <c r="F305" i="8"/>
  <c r="G305" i="8"/>
  <c r="H305" i="8"/>
  <c r="I305" i="8" l="1"/>
  <c r="J305" i="8" s="1"/>
  <c r="K305" i="8" s="1"/>
  <c r="C306" i="8" s="1"/>
  <c r="F306" i="8" l="1"/>
  <c r="H306" i="8"/>
  <c r="G306" i="8"/>
  <c r="L305" i="8"/>
  <c r="I306" i="8" l="1"/>
  <c r="J306" i="8" l="1"/>
  <c r="K306" i="8" s="1"/>
  <c r="C307" i="8" l="1"/>
  <c r="L306" i="8"/>
  <c r="G307" i="8" l="1"/>
  <c r="H307" i="8"/>
  <c r="F307" i="8"/>
  <c r="I307" i="8" l="1"/>
  <c r="J307" i="8" s="1"/>
  <c r="K307" i="8" l="1"/>
  <c r="C308" i="8" s="1"/>
  <c r="H308" i="8" s="1"/>
  <c r="F308" i="8" l="1"/>
  <c r="G308" i="8"/>
  <c r="L307" i="8"/>
  <c r="I308" i="8" l="1"/>
  <c r="J308" i="8" s="1"/>
  <c r="K308" i="8" s="1"/>
  <c r="C309" i="8" s="1"/>
  <c r="F309" i="8" s="1"/>
  <c r="G309" i="8" l="1"/>
  <c r="I309" i="8" s="1"/>
  <c r="J309" i="8" s="1"/>
  <c r="K309" i="8" s="1"/>
  <c r="C310" i="8" s="1"/>
  <c r="H309" i="8"/>
  <c r="L308" i="8"/>
  <c r="G310" i="8" l="1"/>
  <c r="F310" i="8"/>
  <c r="H310" i="8"/>
  <c r="L309" i="8"/>
  <c r="I310" i="8" l="1"/>
  <c r="J310" i="8" s="1"/>
  <c r="K310" i="8" s="1"/>
  <c r="C311" i="8" s="1"/>
  <c r="F311" i="8" l="1"/>
  <c r="H311" i="8"/>
  <c r="G311" i="8"/>
  <c r="L310" i="8"/>
  <c r="I311" i="8" l="1"/>
  <c r="J311" i="8" s="1"/>
  <c r="K311" i="8" s="1"/>
  <c r="C312" i="8" l="1"/>
  <c r="L311" i="8"/>
  <c r="F312" i="8" l="1"/>
  <c r="G312" i="8"/>
  <c r="H312" i="8"/>
  <c r="I312" i="8" l="1"/>
  <c r="J312" i="8" l="1"/>
  <c r="K312" i="8" s="1"/>
  <c r="C313" i="8" l="1"/>
  <c r="L312" i="8"/>
  <c r="G313" i="8" l="1"/>
  <c r="H313" i="8"/>
  <c r="F313" i="8"/>
  <c r="I313" i="8" l="1"/>
  <c r="J313" i="8" s="1"/>
  <c r="K313" i="8" s="1"/>
  <c r="C314" i="8" s="1"/>
  <c r="L313" i="8" l="1"/>
  <c r="H314" i="8"/>
  <c r="G314" i="8"/>
  <c r="F314" i="8"/>
  <c r="I314" i="8" l="1"/>
  <c r="J314" i="8" s="1"/>
  <c r="K314" i="8" s="1"/>
  <c r="C315" i="8" s="1"/>
  <c r="L314" i="8" l="1"/>
  <c r="F315" i="8"/>
  <c r="H315" i="8"/>
  <c r="G315" i="8"/>
  <c r="I315" i="8" l="1"/>
  <c r="J315" i="8" l="1"/>
  <c r="K315" i="8" s="1"/>
  <c r="C316" i="8" l="1"/>
  <c r="L315" i="8"/>
  <c r="G316" i="8" l="1"/>
  <c r="F316" i="8"/>
  <c r="H316" i="8"/>
  <c r="I316" i="8" l="1"/>
  <c r="J316" i="8" s="1"/>
  <c r="K316" i="8" l="1"/>
  <c r="C317" i="8" s="1"/>
  <c r="H317" i="8" s="1"/>
  <c r="L316" i="8" l="1"/>
  <c r="F317" i="8"/>
  <c r="G317" i="8"/>
  <c r="I317" i="8" l="1"/>
  <c r="J317" i="8" s="1"/>
  <c r="K317" i="8" s="1"/>
  <c r="C318" i="8" s="1"/>
  <c r="H318" i="8" s="1"/>
  <c r="F318" i="8" l="1"/>
  <c r="G318" i="8"/>
  <c r="L317" i="8"/>
  <c r="I318" i="8" l="1"/>
  <c r="J318" i="8" s="1"/>
  <c r="K318" i="8" s="1"/>
  <c r="C319" i="8" s="1"/>
  <c r="F319" i="8" s="1"/>
  <c r="H319" i="8" l="1"/>
  <c r="G319" i="8"/>
  <c r="I319" i="8" s="1"/>
  <c r="J319" i="8" s="1"/>
  <c r="K319" i="8" s="1"/>
  <c r="C320" i="8" s="1"/>
  <c r="L318" i="8"/>
  <c r="F320" i="8" l="1"/>
  <c r="G320" i="8"/>
  <c r="H320" i="8"/>
  <c r="L319" i="8"/>
  <c r="I320" i="8" l="1"/>
  <c r="J320" i="8" l="1"/>
  <c r="K320" i="8" s="1"/>
  <c r="C321" i="8" l="1"/>
  <c r="L320" i="8"/>
  <c r="G321" i="8" l="1"/>
  <c r="H321" i="8"/>
  <c r="F321" i="8"/>
  <c r="I321" i="8" l="1"/>
  <c r="J321" i="8" s="1"/>
  <c r="K321" i="8" l="1"/>
  <c r="C322" i="8" l="1"/>
  <c r="L321" i="8"/>
  <c r="H322" i="8" l="1"/>
  <c r="F322" i="8"/>
  <c r="G322" i="8"/>
  <c r="I322" i="8" l="1"/>
  <c r="J322" i="8" s="1"/>
  <c r="K322" i="8" s="1"/>
  <c r="C323" i="8" s="1"/>
  <c r="L322" i="8" l="1"/>
  <c r="F323" i="8"/>
  <c r="H323" i="8"/>
  <c r="G323" i="8"/>
  <c r="I323" i="8" l="1"/>
  <c r="J323" i="8" l="1"/>
  <c r="K323" i="8" s="1"/>
  <c r="C324" i="8" l="1"/>
  <c r="L323" i="8"/>
  <c r="G324" i="8" l="1"/>
  <c r="F324" i="8"/>
  <c r="H324" i="8"/>
  <c r="I324" i="8" l="1"/>
  <c r="J324" i="8" s="1"/>
  <c r="K324" i="8" s="1"/>
  <c r="C325" i="8" s="1"/>
  <c r="H325" i="8" l="1"/>
  <c r="G325" i="8"/>
  <c r="F325" i="8"/>
  <c r="I325" i="8" s="1"/>
  <c r="L324" i="8"/>
  <c r="J325" i="8" l="1"/>
  <c r="K325" i="8" s="1"/>
  <c r="C326" i="8" l="1"/>
  <c r="L325" i="8"/>
  <c r="H326" i="8" l="1"/>
  <c r="G326" i="8"/>
  <c r="F326" i="8"/>
  <c r="I326" i="8" s="1"/>
  <c r="J326" i="8" s="1"/>
  <c r="K326" i="8" l="1"/>
  <c r="C327" i="8" s="1"/>
  <c r="L326" i="8" l="1"/>
  <c r="F327" i="8"/>
  <c r="H327" i="8"/>
  <c r="G327" i="8"/>
  <c r="I327" i="8" l="1"/>
  <c r="J327" i="8" l="1"/>
  <c r="K327" i="8" s="1"/>
  <c r="C328" i="8" l="1"/>
  <c r="L327" i="8"/>
  <c r="F328" i="8" l="1"/>
  <c r="G328" i="8"/>
  <c r="H328" i="8"/>
  <c r="I328" i="8" l="1"/>
  <c r="J328" i="8" l="1"/>
  <c r="K328" i="8" s="1"/>
  <c r="C329" i="8" l="1"/>
  <c r="L328" i="8"/>
  <c r="G329" i="8" l="1"/>
  <c r="H329" i="8"/>
  <c r="F329" i="8"/>
  <c r="I329" i="8" l="1"/>
  <c r="J329" i="8" s="1"/>
  <c r="K329" i="8" l="1"/>
  <c r="C330" i="8" l="1"/>
  <c r="L329" i="8"/>
  <c r="H330" i="8" l="1"/>
  <c r="G330" i="8"/>
  <c r="F330" i="8"/>
  <c r="I330" i="8" l="1"/>
  <c r="J330" i="8" s="1"/>
  <c r="K330" i="8" s="1"/>
  <c r="C331" i="8" s="1"/>
  <c r="L330" i="8" l="1"/>
  <c r="H331" i="8"/>
  <c r="F331" i="8"/>
  <c r="G331" i="8"/>
  <c r="I331" i="8" l="1"/>
  <c r="J331" i="8" s="1"/>
  <c r="K331" i="8" s="1"/>
  <c r="C332" i="8" s="1"/>
  <c r="L331" i="8" l="1"/>
  <c r="G332" i="8"/>
  <c r="F332" i="8"/>
  <c r="H332" i="8"/>
  <c r="I332" i="8" l="1"/>
  <c r="J332" i="8" s="1"/>
  <c r="K332" i="8" l="1"/>
  <c r="C333" i="8" s="1"/>
  <c r="H333" i="8" s="1"/>
  <c r="G333" i="8" l="1"/>
  <c r="L332" i="8"/>
  <c r="F333" i="8"/>
  <c r="I333" i="8" l="1"/>
  <c r="J333" i="8" s="1"/>
  <c r="K333" i="8" s="1"/>
  <c r="C334" i="8" s="1"/>
  <c r="L333" i="8" l="1"/>
  <c r="H334" i="8"/>
  <c r="F334" i="8"/>
  <c r="G334" i="8"/>
  <c r="I334" i="8" l="1"/>
  <c r="J334" i="8" l="1"/>
  <c r="K334" i="8" s="1"/>
  <c r="C335" i="8" l="1"/>
  <c r="L334" i="8"/>
  <c r="F335" i="8" l="1"/>
  <c r="H335" i="8"/>
  <c r="G335" i="8"/>
  <c r="I335" i="8" l="1"/>
  <c r="J335" i="8" l="1"/>
  <c r="K335" i="8" s="1"/>
  <c r="C336" i="8" l="1"/>
  <c r="L335" i="8"/>
  <c r="F336" i="8" l="1"/>
  <c r="G336" i="8"/>
  <c r="H336" i="8"/>
  <c r="I336" i="8" l="1"/>
  <c r="J336" i="8" l="1"/>
  <c r="K336" i="8" s="1"/>
  <c r="C337" i="8" l="1"/>
  <c r="L336" i="8"/>
  <c r="G337" i="8" l="1"/>
  <c r="F337" i="8"/>
  <c r="H337" i="8"/>
  <c r="I337" i="8" l="1"/>
  <c r="J337" i="8" s="1"/>
  <c r="K337" i="8" l="1"/>
  <c r="C338" i="8" s="1"/>
  <c r="H338" i="8" s="1"/>
  <c r="L337" i="8" l="1"/>
  <c r="F338" i="8"/>
  <c r="G338" i="8"/>
  <c r="I338" i="8" l="1"/>
  <c r="J338" i="8" l="1"/>
  <c r="K338" i="8" s="1"/>
  <c r="C339" i="8" l="1"/>
  <c r="L338" i="8"/>
  <c r="H339" i="8" l="1"/>
  <c r="G339" i="8"/>
  <c r="F339" i="8"/>
  <c r="I339" i="8" l="1"/>
  <c r="J339" i="8" s="1"/>
  <c r="K339" i="8" s="1"/>
  <c r="C340" i="8" s="1"/>
  <c r="L339" i="8" l="1"/>
  <c r="H340" i="8"/>
  <c r="G340" i="8"/>
  <c r="F340" i="8"/>
  <c r="I340" i="8" l="1"/>
  <c r="J340" i="8" s="1"/>
  <c r="K340" i="8" s="1"/>
  <c r="C341" i="8" s="1"/>
  <c r="H341" i="8" s="1"/>
  <c r="L340" i="8" l="1"/>
  <c r="F341" i="8"/>
  <c r="G341" i="8"/>
  <c r="I341" i="8" l="1"/>
  <c r="J341" i="8" s="1"/>
  <c r="K341" i="8" l="1"/>
  <c r="C342" i="8" s="1"/>
  <c r="H342" i="8" s="1"/>
  <c r="F342" i="8" l="1"/>
  <c r="G342" i="8"/>
  <c r="L341" i="8"/>
  <c r="I342" i="8" l="1"/>
  <c r="J342" i="8" s="1"/>
  <c r="K342" i="8" s="1"/>
  <c r="C343" i="8" s="1"/>
  <c r="L342" i="8" l="1"/>
  <c r="F343" i="8"/>
  <c r="G343" i="8"/>
  <c r="H343" i="8"/>
  <c r="I343" i="8" l="1"/>
  <c r="J343" i="8" s="1"/>
  <c r="K343" i="8" s="1"/>
  <c r="C344" i="8" s="1"/>
  <c r="F344" i="8" s="1"/>
  <c r="L343" i="8" l="1"/>
  <c r="H344" i="8"/>
  <c r="G344" i="8"/>
  <c r="I344" i="8" s="1"/>
  <c r="J344" i="8" l="1"/>
  <c r="K344" i="8" s="1"/>
  <c r="C345" i="8" l="1"/>
  <c r="L344" i="8"/>
  <c r="G345" i="8" l="1"/>
  <c r="F345" i="8"/>
  <c r="H345" i="8"/>
  <c r="I345" i="8" l="1"/>
  <c r="J345" i="8" s="1"/>
  <c r="K345" i="8" s="1"/>
  <c r="C346" i="8" l="1"/>
  <c r="L345" i="8"/>
  <c r="H346" i="8" l="1"/>
  <c r="G346" i="8"/>
  <c r="F346" i="8"/>
  <c r="I346" i="8" l="1"/>
  <c r="J346" i="8" s="1"/>
  <c r="K346" i="8" l="1"/>
  <c r="C347" i="8" s="1"/>
  <c r="H347" i="8" s="1"/>
  <c r="F347" i="8" l="1"/>
  <c r="G347" i="8"/>
  <c r="L346" i="8"/>
  <c r="I347" i="8" l="1"/>
  <c r="J347" i="8" l="1"/>
  <c r="K347" i="8" s="1"/>
  <c r="C348" i="8" l="1"/>
  <c r="L347" i="8"/>
  <c r="H348" i="8" l="1"/>
  <c r="G348" i="8"/>
  <c r="F348" i="8"/>
  <c r="I348" i="8" l="1"/>
  <c r="J348" i="8" s="1"/>
  <c r="K348" i="8" s="1"/>
  <c r="C349" i="8" s="1"/>
  <c r="L348" i="8" l="1"/>
  <c r="H349" i="8"/>
  <c r="G349" i="8"/>
  <c r="F349" i="8"/>
  <c r="I349" i="8" s="1"/>
  <c r="J349" i="8" l="1"/>
  <c r="K349" i="8" s="1"/>
  <c r="C350" i="8" l="1"/>
  <c r="L349" i="8"/>
  <c r="G350" i="8" l="1"/>
  <c r="H350" i="8"/>
  <c r="F350" i="8"/>
  <c r="I350" i="8" l="1"/>
  <c r="J350" i="8" s="1"/>
  <c r="K350" i="8" s="1"/>
  <c r="C351" i="8" s="1"/>
  <c r="H351" i="8" s="1"/>
  <c r="L350" i="8" l="1"/>
  <c r="G351" i="8"/>
  <c r="F351" i="8"/>
  <c r="I351" i="8" s="1"/>
  <c r="J351" i="8" s="1"/>
  <c r="K351" i="8" s="1"/>
  <c r="C352" i="8" l="1"/>
  <c r="L351" i="8"/>
  <c r="F352" i="8" l="1"/>
  <c r="G352" i="8"/>
  <c r="H352" i="8"/>
  <c r="I352" i="8" l="1"/>
  <c r="J352" i="8" l="1"/>
  <c r="K352" i="8" s="1"/>
  <c r="C353" i="8" l="1"/>
  <c r="L352" i="8"/>
  <c r="G353" i="8" l="1"/>
  <c r="F353" i="8"/>
  <c r="H353" i="8"/>
  <c r="I353" i="8" l="1"/>
  <c r="J353" i="8" s="1"/>
  <c r="K353" i="8" l="1"/>
  <c r="C354" i="8" s="1"/>
  <c r="H354" i="8" s="1"/>
  <c r="L353" i="8" l="1"/>
  <c r="F354" i="8"/>
  <c r="G354" i="8"/>
  <c r="I354" i="8" l="1"/>
  <c r="J354" i="8" s="1"/>
  <c r="K354" i="8" s="1"/>
  <c r="C355" i="8" s="1"/>
  <c r="L354" i="8" l="1"/>
  <c r="H355" i="8"/>
  <c r="G355" i="8"/>
  <c r="F355" i="8"/>
  <c r="I355" i="8" s="1"/>
  <c r="J355" i="8" s="1"/>
  <c r="K355" i="8" l="1"/>
  <c r="C356" i="8" s="1"/>
  <c r="L355" i="8" l="1"/>
  <c r="H356" i="8"/>
  <c r="G356" i="8"/>
  <c r="F356" i="8"/>
  <c r="I356" i="8" l="1"/>
  <c r="J356" i="8" s="1"/>
  <c r="K356" i="8" l="1"/>
  <c r="C357" i="8" s="1"/>
  <c r="G357" i="8" s="1"/>
  <c r="F357" i="8" l="1"/>
  <c r="I357" i="8" s="1"/>
  <c r="J357" i="8" s="1"/>
  <c r="K357" i="8" s="1"/>
  <c r="H357" i="8"/>
  <c r="L356" i="8"/>
  <c r="C358" i="8" l="1"/>
  <c r="L357" i="8"/>
  <c r="H358" i="8" l="1"/>
  <c r="G358" i="8"/>
  <c r="F358" i="8"/>
  <c r="I358" i="8" s="1"/>
  <c r="J358" i="8" s="1"/>
  <c r="K358" i="8" l="1"/>
  <c r="C359" i="8" s="1"/>
  <c r="L358" i="8" l="1"/>
  <c r="F359" i="8"/>
  <c r="G359" i="8"/>
  <c r="H359" i="8"/>
  <c r="I359" i="8" l="1"/>
  <c r="J359" i="8" s="1"/>
  <c r="K359" i="8" s="1"/>
  <c r="C360" i="8" l="1"/>
  <c r="L359" i="8"/>
  <c r="F360" i="8" l="1"/>
  <c r="G360" i="8"/>
  <c r="H360" i="8"/>
  <c r="I360" i="8" l="1"/>
  <c r="J360" i="8" l="1"/>
  <c r="K360" i="8" s="1"/>
  <c r="C361" i="8" l="1"/>
  <c r="L360" i="8"/>
  <c r="G361" i="8" l="1"/>
  <c r="F361" i="8"/>
  <c r="H361" i="8"/>
  <c r="I361" i="8" l="1"/>
  <c r="J361" i="8" s="1"/>
  <c r="Q3" i="8"/>
  <c r="K361" i="8" l="1"/>
  <c r="L361" i="8" s="1"/>
  <c r="Q2" i="8" s="1"/>
  <c r="B3" i="5"/>
  <c r="E3" i="5" l="1"/>
  <c r="C3" i="5" l="1"/>
  <c r="B4" i="5" l="1"/>
  <c r="E4" i="5" l="1"/>
  <c r="C4" i="5" s="1"/>
  <c r="B5" i="5"/>
  <c r="E5" i="5" l="1"/>
  <c r="C5" i="5" s="1"/>
  <c r="B6" i="5"/>
  <c r="E6" i="5" l="1"/>
  <c r="B7" i="5"/>
  <c r="E7" i="5" l="1"/>
  <c r="B8" i="5"/>
  <c r="C6" i="5"/>
  <c r="E8" i="5" l="1"/>
  <c r="B9" i="5"/>
  <c r="C7" i="5"/>
  <c r="E9" i="5" l="1"/>
  <c r="B10" i="5"/>
  <c r="C8" i="5"/>
  <c r="E10" i="5" l="1"/>
  <c r="B11" i="5"/>
  <c r="C9" i="5"/>
  <c r="E11" i="5" l="1"/>
  <c r="B12" i="5"/>
  <c r="C10" i="5"/>
  <c r="E12" i="5" l="1"/>
  <c r="B13" i="5"/>
  <c r="C11" i="5"/>
  <c r="E13" i="5" l="1"/>
  <c r="B14" i="5"/>
  <c r="C12" i="5"/>
  <c r="E14" i="5" l="1"/>
  <c r="C14" i="5" s="1"/>
  <c r="B15" i="5"/>
  <c r="C13" i="5"/>
  <c r="E15" i="5" l="1"/>
  <c r="C15" i="5" s="1"/>
  <c r="B16" i="5"/>
  <c r="E16" i="5" l="1"/>
  <c r="C16" i="5" s="1"/>
  <c r="B17" i="5"/>
  <c r="E17" i="5" l="1"/>
  <c r="C17" i="5" s="1"/>
  <c r="B18" i="5"/>
  <c r="E18" i="5" l="1"/>
  <c r="C18" i="5" s="1"/>
  <c r="B19" i="5"/>
  <c r="E19" i="5" l="1"/>
  <c r="C19" i="5" s="1"/>
  <c r="B20" i="5"/>
  <c r="E20" i="5" l="1"/>
  <c r="C20" i="5" s="1"/>
  <c r="B21" i="5"/>
  <c r="E21" i="5" l="1"/>
  <c r="C21" i="5" s="1"/>
  <c r="B22" i="5"/>
  <c r="E22" i="5" l="1"/>
  <c r="C22" i="5" s="1"/>
  <c r="B23" i="5"/>
  <c r="E23" i="5" l="1"/>
  <c r="C23" i="5" s="1"/>
  <c r="B24" i="5"/>
  <c r="E24" i="5" l="1"/>
  <c r="C24" i="5" s="1"/>
  <c r="B25" i="5"/>
  <c r="E25" i="5" l="1"/>
  <c r="C25" i="5" s="1"/>
  <c r="B26" i="5"/>
  <c r="E26" i="5" l="1"/>
  <c r="C26" i="5" s="1"/>
  <c r="B27" i="5"/>
  <c r="E27" i="5" l="1"/>
  <c r="C27" i="5" s="1"/>
  <c r="B28" i="5"/>
  <c r="E28" i="5" l="1"/>
  <c r="C28" i="5" s="1"/>
  <c r="B29" i="5"/>
  <c r="E29" i="5" l="1"/>
  <c r="C29" i="5" s="1"/>
  <c r="B30" i="5"/>
  <c r="E30" i="5" l="1"/>
  <c r="C30" i="5" s="1"/>
  <c r="B31" i="5"/>
  <c r="E31" i="5" l="1"/>
  <c r="C31" i="5" s="1"/>
  <c r="B32" i="5"/>
  <c r="E32" i="5" l="1"/>
  <c r="C32" i="5" s="1"/>
  <c r="B33" i="5"/>
  <c r="E33" i="5" l="1"/>
  <c r="C33" i="5" s="1"/>
  <c r="B34" i="5"/>
  <c r="E34" i="5" l="1"/>
  <c r="C34" i="5" s="1"/>
  <c r="B35" i="5"/>
  <c r="E35" i="5" l="1"/>
  <c r="C35" i="5" s="1"/>
  <c r="B36" i="5"/>
  <c r="B37" i="5" l="1"/>
  <c r="E36" i="5"/>
  <c r="C36" i="5" s="1"/>
  <c r="E37" i="5" l="1"/>
  <c r="C37" i="5" s="1"/>
  <c r="B38" i="5"/>
  <c r="E38" i="5" l="1"/>
  <c r="C38" i="5" s="1"/>
  <c r="B39" i="5"/>
  <c r="E39" i="5" l="1"/>
  <c r="C39" i="5" s="1"/>
  <c r="B40" i="5"/>
  <c r="E40" i="5" l="1"/>
  <c r="C40" i="5" s="1"/>
  <c r="B41" i="5"/>
  <c r="E41" i="5" l="1"/>
  <c r="C41" i="5" s="1"/>
  <c r="B42" i="5"/>
  <c r="E42" i="5" l="1"/>
  <c r="C42" i="5" s="1"/>
  <c r="B43" i="5"/>
  <c r="E43" i="5" l="1"/>
  <c r="C43" i="5" s="1"/>
  <c r="B44" i="5"/>
  <c r="B45" i="5" l="1"/>
  <c r="E44" i="5"/>
  <c r="C44" i="5" s="1"/>
  <c r="E45" i="5" l="1"/>
  <c r="C45" i="5" s="1"/>
  <c r="B46" i="5"/>
  <c r="E46" i="5" l="1"/>
  <c r="C46" i="5" s="1"/>
  <c r="B47" i="5"/>
  <c r="E47" i="5" l="1"/>
  <c r="C47" i="5" s="1"/>
  <c r="B48" i="5"/>
  <c r="E48" i="5" l="1"/>
  <c r="C48" i="5" s="1"/>
  <c r="B49" i="5"/>
  <c r="E49" i="5" l="1"/>
  <c r="C49" i="5" s="1"/>
  <c r="B50" i="5"/>
  <c r="E50" i="5" l="1"/>
  <c r="C50" i="5" s="1"/>
  <c r="B51" i="5"/>
  <c r="E51" i="5" l="1"/>
  <c r="C51" i="5" s="1"/>
  <c r="B52" i="5"/>
  <c r="E52" i="5" l="1"/>
  <c r="C52" i="5" s="1"/>
  <c r="B53" i="5"/>
  <c r="E53" i="5" l="1"/>
  <c r="C53" i="5" s="1"/>
  <c r="B54" i="5"/>
  <c r="E54" i="5" l="1"/>
  <c r="C54" i="5" s="1"/>
  <c r="B55" i="5"/>
  <c r="E55" i="5" l="1"/>
  <c r="C55" i="5" s="1"/>
  <c r="B56" i="5"/>
  <c r="E56" i="5" l="1"/>
  <c r="C56" i="5" s="1"/>
  <c r="B57" i="5"/>
  <c r="E57" i="5" l="1"/>
  <c r="C57" i="5" s="1"/>
  <c r="B58" i="5"/>
  <c r="E58" i="5" l="1"/>
  <c r="C58" i="5" s="1"/>
  <c r="B59" i="5"/>
  <c r="E59" i="5" l="1"/>
  <c r="C59" i="5" s="1"/>
  <c r="B60" i="5"/>
  <c r="E60" i="5" l="1"/>
  <c r="C60" i="5" s="1"/>
  <c r="B61" i="5"/>
  <c r="E61" i="5" l="1"/>
  <c r="C61" i="5" s="1"/>
  <c r="B62" i="5"/>
  <c r="B63" i="5" l="1"/>
  <c r="E62" i="5"/>
  <c r="C62" i="5" s="1"/>
  <c r="E63" i="5" l="1"/>
  <c r="C63" i="5" s="1"/>
  <c r="B64" i="5"/>
  <c r="E64" i="5" l="1"/>
  <c r="C64" i="5" s="1"/>
  <c r="B65" i="5"/>
  <c r="E65" i="5" l="1"/>
  <c r="C65" i="5" s="1"/>
  <c r="B66" i="5"/>
  <c r="E66" i="5" l="1"/>
  <c r="C66" i="5" s="1"/>
  <c r="B67" i="5"/>
  <c r="E67" i="5" l="1"/>
  <c r="C67" i="5" s="1"/>
  <c r="B68" i="5"/>
  <c r="E68" i="5" l="1"/>
  <c r="C68" i="5" s="1"/>
  <c r="B69" i="5"/>
  <c r="E69" i="5" l="1"/>
  <c r="C69" i="5" s="1"/>
  <c r="B70" i="5"/>
  <c r="E70" i="5" l="1"/>
  <c r="C70" i="5" s="1"/>
  <c r="B71" i="5"/>
  <c r="E71" i="5" l="1"/>
  <c r="C71" i="5" s="1"/>
  <c r="B72" i="5"/>
  <c r="E72" i="5" l="1"/>
  <c r="C72" i="5" s="1"/>
  <c r="B73" i="5"/>
  <c r="E73" i="5" l="1"/>
  <c r="C73" i="5" s="1"/>
  <c r="B74" i="5"/>
  <c r="E74" i="5" l="1"/>
  <c r="C74" i="5" s="1"/>
  <c r="B75" i="5"/>
  <c r="E75" i="5" l="1"/>
  <c r="C75" i="5" s="1"/>
  <c r="B76" i="5"/>
  <c r="E76" i="5" l="1"/>
  <c r="C76" i="5" s="1"/>
  <c r="B77" i="5"/>
  <c r="E77" i="5" l="1"/>
  <c r="C77" i="5" s="1"/>
  <c r="B78" i="5"/>
  <c r="E78" i="5" l="1"/>
  <c r="C78" i="5" s="1"/>
  <c r="B79" i="5"/>
  <c r="E79" i="5" l="1"/>
  <c r="C79" i="5" s="1"/>
  <c r="B80" i="5"/>
  <c r="E80" i="5" l="1"/>
  <c r="C80" i="5" s="1"/>
  <c r="B81" i="5"/>
  <c r="E81" i="5" l="1"/>
  <c r="C81" i="5" s="1"/>
  <c r="B82" i="5"/>
  <c r="E82" i="5" l="1"/>
  <c r="C82" i="5" s="1"/>
  <c r="B83" i="5"/>
  <c r="E83" i="5" l="1"/>
  <c r="C83" i="5" s="1"/>
  <c r="B84" i="5"/>
  <c r="E84" i="5" l="1"/>
  <c r="C84" i="5" s="1"/>
  <c r="B85" i="5"/>
  <c r="E85" i="5" l="1"/>
  <c r="C85" i="5" s="1"/>
  <c r="B86" i="5"/>
  <c r="E86" i="5" l="1"/>
  <c r="C86" i="5" s="1"/>
  <c r="B87" i="5"/>
  <c r="E87" i="5" l="1"/>
  <c r="C87" i="5" s="1"/>
  <c r="B88" i="5"/>
  <c r="E88" i="5" l="1"/>
  <c r="C88" i="5" s="1"/>
  <c r="B89" i="5"/>
  <c r="E89" i="5" l="1"/>
  <c r="C89" i="5" s="1"/>
  <c r="B90" i="5"/>
  <c r="E90" i="5" l="1"/>
  <c r="C90" i="5" s="1"/>
  <c r="B91" i="5"/>
  <c r="E91" i="5" l="1"/>
  <c r="C91" i="5" s="1"/>
  <c r="B92" i="5"/>
  <c r="E92" i="5" l="1"/>
  <c r="C92" i="5" s="1"/>
  <c r="B93" i="5"/>
  <c r="E93" i="5" l="1"/>
  <c r="C93" i="5" s="1"/>
  <c r="B94" i="5"/>
  <c r="E94" i="5" l="1"/>
  <c r="C94" i="5" s="1"/>
  <c r="B95" i="5"/>
  <c r="E95" i="5" l="1"/>
  <c r="C95" i="5" s="1"/>
  <c r="B96" i="5"/>
  <c r="B97" i="5" l="1"/>
  <c r="E96" i="5"/>
  <c r="C96" i="5" s="1"/>
  <c r="E97" i="5" l="1"/>
  <c r="C97" i="5" s="1"/>
  <c r="B98" i="5"/>
  <c r="E98" i="5" l="1"/>
  <c r="C98" i="5" s="1"/>
  <c r="B99" i="5"/>
  <c r="E99" i="5" l="1"/>
  <c r="C99" i="5" s="1"/>
  <c r="B100" i="5"/>
  <c r="E100" i="5" l="1"/>
  <c r="C100" i="5" s="1"/>
  <c r="B101" i="5"/>
  <c r="E101" i="5" l="1"/>
  <c r="C101" i="5" s="1"/>
  <c r="B102" i="5"/>
  <c r="E102" i="5" l="1"/>
  <c r="C102" i="5" s="1"/>
  <c r="B103" i="5"/>
  <c r="E103" i="5" l="1"/>
  <c r="C103" i="5" s="1"/>
  <c r="B104" i="5"/>
  <c r="E104" i="5" l="1"/>
  <c r="C104" i="5" s="1"/>
  <c r="B105" i="5"/>
  <c r="E105" i="5" l="1"/>
  <c r="C105" i="5" s="1"/>
  <c r="B106" i="5"/>
  <c r="B107" i="5" l="1"/>
  <c r="E106" i="5"/>
  <c r="C106" i="5" s="1"/>
  <c r="E107" i="5" l="1"/>
  <c r="C107" i="5" s="1"/>
  <c r="B108" i="5"/>
  <c r="B109" i="5" l="1"/>
  <c r="E108" i="5"/>
  <c r="C108" i="5" s="1"/>
  <c r="E109" i="5" l="1"/>
  <c r="C109" i="5" s="1"/>
  <c r="B110" i="5"/>
  <c r="E110" i="5" l="1"/>
  <c r="C110" i="5" s="1"/>
  <c r="B111" i="5"/>
  <c r="E111" i="5" l="1"/>
  <c r="C111" i="5" s="1"/>
  <c r="B112" i="5"/>
  <c r="E112" i="5" l="1"/>
  <c r="C112" i="5" s="1"/>
  <c r="B113" i="5"/>
  <c r="E113" i="5" l="1"/>
  <c r="C113" i="5" s="1"/>
  <c r="B114" i="5"/>
  <c r="E114" i="5" l="1"/>
  <c r="C114" i="5" s="1"/>
  <c r="B115" i="5"/>
  <c r="E115" i="5" l="1"/>
  <c r="C115" i="5" s="1"/>
  <c r="B116" i="5"/>
  <c r="E116" i="5" l="1"/>
  <c r="C116" i="5" s="1"/>
  <c r="B117" i="5"/>
  <c r="E117" i="5" l="1"/>
  <c r="C117" i="5" s="1"/>
  <c r="B118" i="5"/>
  <c r="E118" i="5" l="1"/>
  <c r="C118" i="5" s="1"/>
  <c r="B119" i="5"/>
  <c r="E119" i="5" l="1"/>
  <c r="C119" i="5" s="1"/>
  <c r="B120" i="5"/>
  <c r="E120" i="5" l="1"/>
  <c r="C120" i="5" s="1"/>
  <c r="B121" i="5"/>
  <c r="E121" i="5" l="1"/>
  <c r="C121" i="5" s="1"/>
  <c r="B122" i="5"/>
  <c r="E122" i="5" l="1"/>
  <c r="C122" i="5" s="1"/>
  <c r="B123" i="5"/>
  <c r="E123" i="5" l="1"/>
  <c r="C123" i="5" s="1"/>
  <c r="B124" i="5"/>
  <c r="E124" i="5" l="1"/>
  <c r="C124" i="5" s="1"/>
  <c r="B125" i="5"/>
  <c r="E125" i="5" l="1"/>
  <c r="C125" i="5" s="1"/>
  <c r="B126" i="5"/>
  <c r="E126" i="5" l="1"/>
  <c r="C126" i="5" s="1"/>
  <c r="B127" i="5"/>
  <c r="E127" i="5" l="1"/>
  <c r="C127" i="5" s="1"/>
  <c r="B128" i="5"/>
  <c r="E128" i="5" l="1"/>
  <c r="C128" i="5" s="1"/>
  <c r="B129" i="5"/>
  <c r="E129" i="5" l="1"/>
  <c r="C129" i="5" s="1"/>
  <c r="B130" i="5"/>
  <c r="E130" i="5" l="1"/>
  <c r="C130" i="5" s="1"/>
  <c r="B131" i="5"/>
  <c r="E131" i="5" l="1"/>
  <c r="C131" i="5" s="1"/>
  <c r="B132" i="5"/>
  <c r="E132" i="5" l="1"/>
  <c r="C132" i="5" s="1"/>
  <c r="B133" i="5"/>
  <c r="E133" i="5" l="1"/>
  <c r="C133" i="5" s="1"/>
  <c r="B134" i="5"/>
  <c r="E134" i="5" l="1"/>
  <c r="C134" i="5" s="1"/>
  <c r="B135" i="5"/>
  <c r="E135" i="5" l="1"/>
  <c r="C135" i="5" s="1"/>
  <c r="B136" i="5"/>
  <c r="E136" i="5" l="1"/>
  <c r="C136" i="5" s="1"/>
  <c r="B137" i="5"/>
  <c r="E137" i="5" l="1"/>
  <c r="C137" i="5" s="1"/>
  <c r="B138" i="5"/>
  <c r="E138" i="5" l="1"/>
  <c r="C138" i="5" s="1"/>
  <c r="B139" i="5"/>
  <c r="B140" i="5" l="1"/>
  <c r="E139" i="5"/>
  <c r="C139" i="5" s="1"/>
  <c r="E140" i="5" l="1"/>
  <c r="C140" i="5" s="1"/>
  <c r="B141" i="5"/>
  <c r="E141" i="5" l="1"/>
  <c r="C141" i="5" s="1"/>
  <c r="B142" i="5"/>
  <c r="E142" i="5" l="1"/>
  <c r="C142" i="5" s="1"/>
  <c r="B143" i="5"/>
  <c r="E143" i="5" l="1"/>
  <c r="C143" i="5" s="1"/>
  <c r="B144" i="5"/>
  <c r="E144" i="5" l="1"/>
  <c r="C144" i="5" s="1"/>
  <c r="B145" i="5"/>
  <c r="E145" i="5" l="1"/>
  <c r="C145" i="5" s="1"/>
  <c r="B146" i="5"/>
  <c r="E146" i="5" l="1"/>
  <c r="C146" i="5" s="1"/>
  <c r="B147" i="5"/>
  <c r="E147" i="5" l="1"/>
  <c r="C147" i="5" s="1"/>
  <c r="B148" i="5"/>
  <c r="E148" i="5" l="1"/>
  <c r="C148" i="5" s="1"/>
  <c r="B149" i="5"/>
  <c r="E149" i="5" l="1"/>
  <c r="C149" i="5" s="1"/>
  <c r="B150" i="5"/>
  <c r="E150" i="5" l="1"/>
  <c r="C150" i="5" s="1"/>
  <c r="B151" i="5"/>
  <c r="E151" i="5" l="1"/>
  <c r="C151" i="5" s="1"/>
  <c r="B152" i="5"/>
  <c r="E152" i="5" l="1"/>
  <c r="C152" i="5" s="1"/>
  <c r="B153" i="5"/>
  <c r="E153" i="5" l="1"/>
  <c r="C153" i="5" s="1"/>
  <c r="B154" i="5"/>
  <c r="E154" i="5" l="1"/>
  <c r="C154" i="5" s="1"/>
  <c r="B155" i="5"/>
  <c r="E155" i="5" l="1"/>
  <c r="C155" i="5" s="1"/>
  <c r="B156" i="5"/>
  <c r="E156" i="5" l="1"/>
  <c r="C156" i="5" s="1"/>
  <c r="B157" i="5"/>
  <c r="E157" i="5" l="1"/>
  <c r="C157" i="5" s="1"/>
  <c r="B158" i="5"/>
  <c r="E158" i="5" l="1"/>
  <c r="C158" i="5" s="1"/>
  <c r="B159" i="5"/>
  <c r="E159" i="5" l="1"/>
  <c r="C159" i="5" s="1"/>
  <c r="B160" i="5"/>
  <c r="E160" i="5" l="1"/>
  <c r="C160" i="5" s="1"/>
  <c r="B161" i="5"/>
  <c r="E161" i="5" l="1"/>
  <c r="C161" i="5" s="1"/>
  <c r="B162" i="5"/>
  <c r="E162" i="5" l="1"/>
  <c r="C162" i="5" s="1"/>
  <c r="B163" i="5"/>
  <c r="E163" i="5" l="1"/>
  <c r="C163" i="5" s="1"/>
  <c r="B164" i="5"/>
  <c r="E164" i="5" l="1"/>
  <c r="C164" i="5" s="1"/>
  <c r="B165" i="5"/>
  <c r="E165" i="5" l="1"/>
  <c r="C165" i="5" s="1"/>
  <c r="B166" i="5"/>
  <c r="E166" i="5" l="1"/>
  <c r="C166" i="5" s="1"/>
  <c r="B167" i="5"/>
  <c r="E167" i="5" l="1"/>
  <c r="C167" i="5" s="1"/>
  <c r="B168" i="5"/>
  <c r="E168" i="5" l="1"/>
  <c r="C168" i="5" s="1"/>
  <c r="B169" i="5"/>
  <c r="E169" i="5" l="1"/>
  <c r="C169" i="5" s="1"/>
  <c r="B170" i="5"/>
  <c r="B171" i="5" l="1"/>
  <c r="E170" i="5"/>
  <c r="C170" i="5" s="1"/>
  <c r="E171" i="5" l="1"/>
  <c r="C171" i="5" s="1"/>
  <c r="B172" i="5"/>
  <c r="E172" i="5" l="1"/>
  <c r="C172" i="5" s="1"/>
  <c r="B173" i="5"/>
  <c r="E173" i="5" l="1"/>
  <c r="C173" i="5" s="1"/>
  <c r="B174" i="5"/>
  <c r="E174" i="5" l="1"/>
  <c r="C174" i="5" s="1"/>
  <c r="B175" i="5"/>
  <c r="E175" i="5" l="1"/>
  <c r="C175" i="5" s="1"/>
  <c r="B176" i="5"/>
  <c r="E176" i="5" l="1"/>
  <c r="C176" i="5" s="1"/>
  <c r="B177" i="5"/>
  <c r="E177" i="5" l="1"/>
  <c r="C177" i="5" s="1"/>
  <c r="B178" i="5"/>
  <c r="E178" i="5" l="1"/>
  <c r="C178" i="5" s="1"/>
  <c r="B179" i="5"/>
  <c r="E179" i="5" l="1"/>
  <c r="C179" i="5" s="1"/>
  <c r="B180" i="5"/>
  <c r="E180" i="5" l="1"/>
  <c r="C180" i="5" s="1"/>
  <c r="B181" i="5"/>
  <c r="E181" i="5" l="1"/>
  <c r="C181" i="5" s="1"/>
  <c r="B182" i="5"/>
  <c r="E182" i="5" l="1"/>
  <c r="C182" i="5" s="1"/>
  <c r="B183" i="5"/>
  <c r="E183" i="5" l="1"/>
  <c r="C183" i="5" s="1"/>
  <c r="B184" i="5"/>
  <c r="E184" i="5" l="1"/>
  <c r="C184" i="5" s="1"/>
  <c r="B185" i="5"/>
  <c r="E185" i="5" l="1"/>
  <c r="C185" i="5" s="1"/>
  <c r="B186" i="5"/>
  <c r="E186" i="5" l="1"/>
  <c r="C186" i="5" s="1"/>
  <c r="B187" i="5"/>
  <c r="E187" i="5" l="1"/>
  <c r="C187" i="5" s="1"/>
  <c r="B188" i="5"/>
  <c r="E188" i="5" l="1"/>
  <c r="C188" i="5" s="1"/>
  <c r="B189" i="5"/>
  <c r="E189" i="5" l="1"/>
  <c r="C189" i="5" s="1"/>
  <c r="B190" i="5"/>
  <c r="E190" i="5" l="1"/>
  <c r="C190" i="5" s="1"/>
  <c r="B191" i="5"/>
  <c r="E191" i="5" l="1"/>
  <c r="C191" i="5" s="1"/>
  <c r="B192" i="5"/>
  <c r="E192" i="5" l="1"/>
  <c r="C192" i="5" s="1"/>
  <c r="B193" i="5"/>
  <c r="E193" i="5" l="1"/>
  <c r="C193" i="5" s="1"/>
  <c r="B194" i="5"/>
  <c r="E194" i="5" l="1"/>
  <c r="C194" i="5" s="1"/>
  <c r="B195" i="5"/>
  <c r="E195" i="5" l="1"/>
  <c r="C195" i="5" s="1"/>
  <c r="B196" i="5"/>
  <c r="E196" i="5" l="1"/>
  <c r="C196" i="5" s="1"/>
  <c r="B197" i="5"/>
  <c r="E197" i="5" l="1"/>
  <c r="C197" i="5" s="1"/>
  <c r="B198" i="5"/>
  <c r="E198" i="5" l="1"/>
  <c r="C198" i="5" s="1"/>
  <c r="B199" i="5"/>
  <c r="E199" i="5" l="1"/>
  <c r="C199" i="5" s="1"/>
  <c r="B200" i="5"/>
  <c r="E200" i="5" l="1"/>
  <c r="C200" i="5" s="1"/>
  <c r="B201" i="5"/>
  <c r="E201" i="5" l="1"/>
  <c r="C201" i="5" s="1"/>
  <c r="B202" i="5"/>
  <c r="E202" i="5" l="1"/>
  <c r="C202" i="5" s="1"/>
  <c r="B203" i="5"/>
  <c r="E203" i="5" l="1"/>
  <c r="C203" i="5" s="1"/>
  <c r="B204" i="5"/>
  <c r="E204" i="5" l="1"/>
  <c r="C204" i="5" s="1"/>
  <c r="B205" i="5"/>
  <c r="E205" i="5" l="1"/>
  <c r="C205" i="5" s="1"/>
  <c r="B206" i="5"/>
  <c r="E206" i="5" l="1"/>
  <c r="C206" i="5" s="1"/>
  <c r="B207" i="5"/>
  <c r="E207" i="5" l="1"/>
  <c r="C207" i="5" s="1"/>
  <c r="B208" i="5"/>
  <c r="E208" i="5" l="1"/>
  <c r="C208" i="5" s="1"/>
  <c r="B209" i="5"/>
  <c r="E209" i="5" l="1"/>
  <c r="C209" i="5" s="1"/>
  <c r="B210" i="5"/>
  <c r="E210" i="5" l="1"/>
  <c r="C210" i="5" s="1"/>
  <c r="B211" i="5"/>
  <c r="E211" i="5" l="1"/>
  <c r="C211" i="5" s="1"/>
  <c r="B212" i="5"/>
  <c r="E212" i="5" l="1"/>
  <c r="C212" i="5" s="1"/>
  <c r="B213" i="5"/>
  <c r="E213" i="5" l="1"/>
  <c r="C213" i="5" s="1"/>
  <c r="B214" i="5"/>
  <c r="E214" i="5" l="1"/>
  <c r="C214" i="5" s="1"/>
  <c r="B215" i="5"/>
  <c r="E215" i="5" l="1"/>
  <c r="C215" i="5" s="1"/>
  <c r="B216" i="5"/>
  <c r="E216" i="5" l="1"/>
  <c r="C216" i="5" s="1"/>
  <c r="B217" i="5"/>
  <c r="E217" i="5" l="1"/>
  <c r="C217" i="5" s="1"/>
  <c r="B218" i="5"/>
  <c r="E218" i="5" l="1"/>
  <c r="C218" i="5" s="1"/>
  <c r="B219" i="5"/>
  <c r="E219" i="5" l="1"/>
  <c r="C219" i="5" s="1"/>
  <c r="B220" i="5"/>
  <c r="E220" i="5" l="1"/>
  <c r="C220" i="5" s="1"/>
  <c r="B221" i="5"/>
  <c r="E221" i="5" l="1"/>
  <c r="C221" i="5" s="1"/>
  <c r="B222" i="5"/>
  <c r="E222" i="5" l="1"/>
  <c r="C222" i="5" s="1"/>
  <c r="B223" i="5"/>
  <c r="E223" i="5" l="1"/>
  <c r="C223" i="5" s="1"/>
  <c r="B224" i="5"/>
  <c r="E224" i="5" l="1"/>
  <c r="C224" i="5" s="1"/>
  <c r="B225" i="5"/>
  <c r="E225" i="5" l="1"/>
  <c r="C225" i="5" s="1"/>
  <c r="B226" i="5"/>
  <c r="E226" i="5" l="1"/>
  <c r="C226" i="5" s="1"/>
  <c r="B227" i="5"/>
  <c r="E227" i="5" l="1"/>
  <c r="C227" i="5" s="1"/>
  <c r="B228" i="5"/>
  <c r="E228" i="5" l="1"/>
  <c r="C228" i="5" s="1"/>
  <c r="B229" i="5"/>
  <c r="E229" i="5" l="1"/>
  <c r="C229" i="5" s="1"/>
  <c r="B230" i="5"/>
  <c r="E230" i="5" l="1"/>
  <c r="C230" i="5" s="1"/>
  <c r="B231" i="5"/>
  <c r="E231" i="5" l="1"/>
  <c r="C231" i="5" s="1"/>
  <c r="B232" i="5"/>
  <c r="E232" i="5" l="1"/>
  <c r="C232" i="5" s="1"/>
  <c r="B233" i="5"/>
  <c r="E233" i="5" l="1"/>
  <c r="C233" i="5" s="1"/>
  <c r="B234" i="5"/>
  <c r="E234" i="5" l="1"/>
  <c r="C234" i="5" s="1"/>
  <c r="B235" i="5"/>
  <c r="E235" i="5" l="1"/>
  <c r="C235" i="5" s="1"/>
  <c r="B236" i="5"/>
  <c r="E236" i="5" l="1"/>
  <c r="C236" i="5" s="1"/>
  <c r="B237" i="5"/>
  <c r="E237" i="5" l="1"/>
  <c r="C237" i="5" s="1"/>
  <c r="B238" i="5"/>
  <c r="E238" i="5" l="1"/>
  <c r="C238" i="5" s="1"/>
  <c r="B239" i="5"/>
  <c r="E239" i="5" l="1"/>
  <c r="C239" i="5" s="1"/>
  <c r="B240" i="5"/>
  <c r="B241" i="5" l="1"/>
  <c r="E240" i="5"/>
  <c r="C240" i="5" s="1"/>
  <c r="E241" i="5" l="1"/>
  <c r="C241" i="5" s="1"/>
  <c r="B242" i="5"/>
  <c r="E242" i="5" l="1"/>
  <c r="C242" i="5" s="1"/>
  <c r="B243" i="5"/>
  <c r="E243" i="5" l="1"/>
  <c r="C243" i="5" s="1"/>
  <c r="B244" i="5"/>
  <c r="E244" i="5" l="1"/>
  <c r="C244" i="5" s="1"/>
  <c r="B245" i="5"/>
  <c r="E245" i="5" l="1"/>
  <c r="C245" i="5" s="1"/>
  <c r="B246" i="5"/>
  <c r="E246" i="5" l="1"/>
  <c r="C246" i="5" s="1"/>
  <c r="B247" i="5"/>
  <c r="E247" i="5" l="1"/>
  <c r="C247" i="5" s="1"/>
  <c r="B248" i="5"/>
  <c r="E248" i="5" l="1"/>
  <c r="C248" i="5" s="1"/>
  <c r="B249" i="5"/>
  <c r="E249" i="5" l="1"/>
  <c r="C249" i="5" s="1"/>
  <c r="B250" i="5"/>
  <c r="E250" i="5" l="1"/>
  <c r="C250" i="5" s="1"/>
  <c r="B251" i="5"/>
  <c r="E251" i="5" l="1"/>
  <c r="C251" i="5" s="1"/>
  <c r="B252" i="5"/>
  <c r="E252" i="5" l="1"/>
  <c r="C252" i="5" s="1"/>
  <c r="B253" i="5"/>
  <c r="E253" i="5" l="1"/>
  <c r="C253" i="5" s="1"/>
  <c r="B254" i="5"/>
  <c r="E254" i="5" l="1"/>
  <c r="C254" i="5" s="1"/>
  <c r="B255" i="5"/>
  <c r="E255" i="5" l="1"/>
  <c r="C255" i="5" s="1"/>
  <c r="B256" i="5"/>
  <c r="E256" i="5" l="1"/>
  <c r="C256" i="5" s="1"/>
  <c r="B257" i="5"/>
  <c r="E257" i="5" l="1"/>
  <c r="C257" i="5" s="1"/>
  <c r="B258" i="5"/>
  <c r="E258" i="5" l="1"/>
  <c r="C258" i="5" s="1"/>
  <c r="B259" i="5"/>
  <c r="E259" i="5" l="1"/>
  <c r="C259" i="5" s="1"/>
  <c r="B260" i="5"/>
  <c r="E260" i="5" l="1"/>
  <c r="C260" i="5" s="1"/>
  <c r="B261" i="5"/>
  <c r="E261" i="5" l="1"/>
  <c r="C261" i="5" s="1"/>
  <c r="B262" i="5"/>
  <c r="E262" i="5" l="1"/>
  <c r="C262" i="5" s="1"/>
  <c r="B263" i="5"/>
  <c r="E263" i="5" l="1"/>
  <c r="C263" i="5" s="1"/>
  <c r="B264" i="5"/>
  <c r="E264" i="5" l="1"/>
  <c r="C264" i="5" s="1"/>
  <c r="B265" i="5"/>
  <c r="E265" i="5" l="1"/>
  <c r="C265" i="5" s="1"/>
  <c r="B266" i="5"/>
  <c r="E266" i="5" l="1"/>
  <c r="C266" i="5" s="1"/>
  <c r="B267" i="5"/>
  <c r="E267" i="5" l="1"/>
  <c r="C267" i="5" s="1"/>
  <c r="B268" i="5"/>
  <c r="E268" i="5" l="1"/>
  <c r="C268" i="5" s="1"/>
  <c r="B269" i="5"/>
  <c r="E269" i="5" l="1"/>
  <c r="C269" i="5" s="1"/>
  <c r="B270" i="5"/>
  <c r="E270" i="5" l="1"/>
  <c r="C270" i="5" s="1"/>
  <c r="B271" i="5"/>
  <c r="B272" i="5" l="1"/>
  <c r="E271" i="5"/>
  <c r="C271" i="5" s="1"/>
  <c r="E272" i="5" l="1"/>
  <c r="C272" i="5" s="1"/>
  <c r="B273" i="5"/>
  <c r="E273" i="5" l="1"/>
  <c r="C273" i="5" s="1"/>
  <c r="B274" i="5"/>
  <c r="E274" i="5" l="1"/>
  <c r="C274" i="5" s="1"/>
  <c r="B275" i="5"/>
  <c r="E275" i="5" l="1"/>
  <c r="C275" i="5" s="1"/>
  <c r="B276" i="5"/>
  <c r="E276" i="5" l="1"/>
  <c r="C276" i="5" s="1"/>
  <c r="B277" i="5"/>
  <c r="E277" i="5" l="1"/>
  <c r="C277" i="5" s="1"/>
  <c r="B278" i="5"/>
  <c r="E278" i="5" l="1"/>
  <c r="C278" i="5" s="1"/>
  <c r="B279" i="5"/>
  <c r="E279" i="5" l="1"/>
  <c r="C279" i="5" s="1"/>
  <c r="B280" i="5"/>
  <c r="E280" i="5" l="1"/>
  <c r="C280" i="5" s="1"/>
  <c r="B281" i="5"/>
  <c r="E281" i="5" l="1"/>
  <c r="C281" i="5" s="1"/>
  <c r="B282" i="5"/>
  <c r="E282" i="5" l="1"/>
  <c r="C282" i="5" s="1"/>
  <c r="B283" i="5"/>
  <c r="E283" i="5" l="1"/>
  <c r="C283" i="5" s="1"/>
  <c r="B284" i="5"/>
  <c r="E284" i="5" l="1"/>
  <c r="C284" i="5" s="1"/>
  <c r="B285" i="5"/>
  <c r="E285" i="5" l="1"/>
  <c r="C285" i="5" s="1"/>
  <c r="B286" i="5"/>
  <c r="E286" i="5" l="1"/>
  <c r="C286" i="5" s="1"/>
  <c r="B287" i="5"/>
  <c r="E287" i="5" l="1"/>
  <c r="C287" i="5" s="1"/>
  <c r="B288" i="5"/>
  <c r="E288" i="5" l="1"/>
  <c r="C288" i="5" s="1"/>
  <c r="B289" i="5"/>
  <c r="E289" i="5" l="1"/>
  <c r="C289" i="5" s="1"/>
  <c r="B290" i="5"/>
  <c r="E290" i="5" l="1"/>
  <c r="C290" i="5" s="1"/>
  <c r="B291" i="5"/>
  <c r="B292" i="5" l="1"/>
  <c r="E291" i="5"/>
  <c r="C291" i="5" s="1"/>
  <c r="E292" i="5" l="1"/>
  <c r="C292" i="5" s="1"/>
  <c r="B293" i="5"/>
  <c r="E293" i="5" l="1"/>
  <c r="C293" i="5" s="1"/>
  <c r="B294" i="5"/>
  <c r="E294" i="5" l="1"/>
  <c r="C294" i="5" s="1"/>
  <c r="B295" i="5"/>
  <c r="E295" i="5" l="1"/>
  <c r="C295" i="5" s="1"/>
  <c r="B296" i="5"/>
  <c r="E296" i="5" l="1"/>
  <c r="C296" i="5" s="1"/>
  <c r="B297" i="5"/>
  <c r="E297" i="5" l="1"/>
  <c r="C297" i="5" s="1"/>
  <c r="B298" i="5"/>
  <c r="E298" i="5" l="1"/>
  <c r="C298" i="5" s="1"/>
  <c r="B299" i="5"/>
  <c r="E299" i="5" l="1"/>
  <c r="C299" i="5" s="1"/>
  <c r="B300" i="5"/>
  <c r="E300" i="5" l="1"/>
  <c r="C300" i="5" s="1"/>
  <c r="B301" i="5"/>
  <c r="E301" i="5" l="1"/>
  <c r="C301" i="5" s="1"/>
  <c r="B302" i="5"/>
  <c r="E302" i="5" l="1"/>
  <c r="C302" i="5" s="1"/>
  <c r="B303" i="5"/>
  <c r="E303" i="5" l="1"/>
  <c r="C303" i="5" s="1"/>
  <c r="B304" i="5"/>
  <c r="E304" i="5" l="1"/>
  <c r="C304" i="5" s="1"/>
  <c r="B305" i="5"/>
  <c r="E305" i="5" l="1"/>
  <c r="C305" i="5" s="1"/>
  <c r="B306" i="5"/>
  <c r="E306" i="5" l="1"/>
  <c r="C306" i="5" s="1"/>
  <c r="B307" i="5"/>
  <c r="E307" i="5" l="1"/>
  <c r="C307" i="5" s="1"/>
  <c r="B308" i="5"/>
  <c r="E308" i="5" l="1"/>
  <c r="C308" i="5" s="1"/>
  <c r="B309" i="5"/>
  <c r="E309" i="5" l="1"/>
  <c r="C309" i="5" s="1"/>
  <c r="B310" i="5"/>
  <c r="E310" i="5" l="1"/>
  <c r="C310" i="5" s="1"/>
  <c r="B311" i="5"/>
  <c r="E311" i="5" l="1"/>
  <c r="C311" i="5" s="1"/>
  <c r="B312" i="5"/>
  <c r="E312" i="5" l="1"/>
  <c r="C312" i="5" s="1"/>
  <c r="B313" i="5"/>
  <c r="E313" i="5" l="1"/>
  <c r="C313" i="5" s="1"/>
  <c r="B314" i="5"/>
  <c r="E314" i="5" l="1"/>
  <c r="C314" i="5" s="1"/>
  <c r="B315" i="5"/>
  <c r="E315" i="5" l="1"/>
  <c r="C315" i="5" s="1"/>
  <c r="B316" i="5"/>
  <c r="E316" i="5" l="1"/>
  <c r="C316" i="5" s="1"/>
  <c r="B317" i="5"/>
  <c r="E317" i="5" l="1"/>
  <c r="C317" i="5" s="1"/>
  <c r="B318" i="5"/>
  <c r="E318" i="5" l="1"/>
  <c r="C318" i="5" s="1"/>
  <c r="B319" i="5"/>
  <c r="E319" i="5" l="1"/>
  <c r="C319" i="5" s="1"/>
  <c r="B320" i="5"/>
  <c r="E320" i="5" l="1"/>
  <c r="C320" i="5" s="1"/>
  <c r="B321" i="5"/>
  <c r="E321" i="5" l="1"/>
  <c r="C321" i="5" s="1"/>
  <c r="B322" i="5"/>
  <c r="E322" i="5" l="1"/>
  <c r="C322" i="5" s="1"/>
  <c r="B323" i="5"/>
  <c r="E323" i="5" l="1"/>
  <c r="C323" i="5" s="1"/>
  <c r="B324" i="5"/>
  <c r="B325" i="5" l="1"/>
  <c r="E324" i="5"/>
  <c r="C324" i="5" s="1"/>
  <c r="E325" i="5" l="1"/>
  <c r="C325" i="5" s="1"/>
  <c r="B326" i="5"/>
  <c r="E326" i="5" l="1"/>
  <c r="C326" i="5" s="1"/>
  <c r="B327" i="5"/>
  <c r="E327" i="5" l="1"/>
  <c r="C327" i="5" s="1"/>
  <c r="B328" i="5"/>
  <c r="E328" i="5" l="1"/>
  <c r="C328" i="5" s="1"/>
  <c r="B329" i="5"/>
  <c r="E329" i="5" l="1"/>
  <c r="C329" i="5" s="1"/>
  <c r="B330" i="5"/>
  <c r="E330" i="5" l="1"/>
  <c r="C330" i="5" s="1"/>
  <c r="B331" i="5"/>
  <c r="E331" i="5" l="1"/>
  <c r="C331" i="5" s="1"/>
  <c r="B332" i="5"/>
  <c r="E332" i="5" l="1"/>
  <c r="C332" i="5" s="1"/>
  <c r="B333" i="5"/>
  <c r="E333" i="5" l="1"/>
  <c r="C333" i="5" s="1"/>
  <c r="B334" i="5"/>
  <c r="E334" i="5" l="1"/>
  <c r="C334" i="5" s="1"/>
  <c r="B335" i="5"/>
  <c r="E335" i="5" l="1"/>
  <c r="C335" i="5" s="1"/>
  <c r="B336" i="5"/>
  <c r="E336" i="5" l="1"/>
  <c r="C336" i="5" s="1"/>
  <c r="B337" i="5"/>
  <c r="E337" i="5" l="1"/>
  <c r="C337" i="5" s="1"/>
  <c r="B338" i="5"/>
  <c r="E338" i="5" l="1"/>
  <c r="C338" i="5" s="1"/>
  <c r="B339" i="5"/>
  <c r="E339" i="5" l="1"/>
  <c r="C339" i="5" s="1"/>
  <c r="B340" i="5"/>
  <c r="E340" i="5" l="1"/>
  <c r="C340" i="5" s="1"/>
  <c r="B341" i="5"/>
  <c r="E341" i="5" l="1"/>
  <c r="C341" i="5" s="1"/>
  <c r="B342" i="5"/>
  <c r="E342" i="5" l="1"/>
  <c r="C342" i="5" s="1"/>
  <c r="B343" i="5"/>
  <c r="E343" i="5" l="1"/>
  <c r="C343" i="5" s="1"/>
  <c r="B344" i="5"/>
  <c r="E344" i="5" l="1"/>
  <c r="C344" i="5" s="1"/>
  <c r="B345" i="5"/>
  <c r="E345" i="5" l="1"/>
  <c r="C345" i="5" s="1"/>
  <c r="B346" i="5"/>
  <c r="E346" i="5" l="1"/>
  <c r="C346" i="5" s="1"/>
  <c r="B347" i="5"/>
  <c r="E347" i="5" l="1"/>
  <c r="C347" i="5" s="1"/>
  <c r="B348" i="5"/>
  <c r="E348" i="5" l="1"/>
  <c r="C348" i="5" s="1"/>
  <c r="B349" i="5"/>
  <c r="E349" i="5" l="1"/>
  <c r="C349" i="5" s="1"/>
  <c r="B350" i="5"/>
  <c r="E350" i="5" l="1"/>
  <c r="C350" i="5" s="1"/>
  <c r="B351" i="5"/>
  <c r="E351" i="5" l="1"/>
  <c r="C351" i="5" s="1"/>
  <c r="B352" i="5"/>
  <c r="E352" i="5" l="1"/>
  <c r="C352" i="5" s="1"/>
  <c r="B353" i="5"/>
  <c r="E353" i="5" l="1"/>
  <c r="C353" i="5" s="1"/>
  <c r="B354" i="5"/>
  <c r="E354" i="5" l="1"/>
  <c r="C354" i="5" s="1"/>
  <c r="B355" i="5"/>
  <c r="B356" i="5" l="1"/>
  <c r="E355" i="5"/>
  <c r="C355" i="5" s="1"/>
  <c r="E356" i="5" l="1"/>
  <c r="C356" i="5" s="1"/>
  <c r="B357" i="5"/>
  <c r="E357" i="5" l="1"/>
  <c r="C357" i="5" s="1"/>
  <c r="B358" i="5"/>
  <c r="E358" i="5" l="1"/>
  <c r="C358" i="5" s="1"/>
  <c r="B359" i="5"/>
  <c r="E359" i="5" l="1"/>
  <c r="C359" i="5" s="1"/>
  <c r="B360" i="5"/>
  <c r="E360" i="5" l="1"/>
  <c r="C360" i="5" s="1"/>
  <c r="B361" i="5"/>
  <c r="K2" i="5" l="1"/>
  <c r="E361" i="5"/>
  <c r="K4" i="5" s="1"/>
  <c r="K5" i="5" s="1"/>
  <c r="I5" i="5"/>
  <c r="C361" i="5" l="1"/>
</calcChain>
</file>

<file path=xl/sharedStrings.xml><?xml version="1.0" encoding="utf-8"?>
<sst xmlns="http://schemas.openxmlformats.org/spreadsheetml/2006/main" count="51" uniqueCount="40">
  <si>
    <t>Interest Rate</t>
  </si>
  <si>
    <t>Variables</t>
  </si>
  <si>
    <t>Number of Prepayments</t>
  </si>
  <si>
    <t>Scheduled Interest</t>
  </si>
  <si>
    <t>Current Balance</t>
  </si>
  <si>
    <t>Weighted Average Coupon Rate (WAC)</t>
  </si>
  <si>
    <t>Weighted Average Maturity (Months)</t>
  </si>
  <si>
    <t xml:space="preserve"> </t>
  </si>
  <si>
    <t>Months Seasoned</t>
  </si>
  <si>
    <t>Months</t>
  </si>
  <si>
    <t>SMM</t>
  </si>
  <si>
    <t>Mortgage Payment</t>
  </si>
  <si>
    <t>Net Interest</t>
  </si>
  <si>
    <t>Principal</t>
  </si>
  <si>
    <t>Prepayment</t>
  </si>
  <si>
    <t>Total Principal</t>
  </si>
  <si>
    <t>Cash Flow</t>
  </si>
  <si>
    <t>Monthly Adjustment (Decimal)</t>
  </si>
  <si>
    <t>Home Price Appreciation (HPA)</t>
  </si>
  <si>
    <t>Housing Turn Over Rate</t>
  </si>
  <si>
    <t>Total Cash Flow</t>
  </si>
  <si>
    <t>Total Figures</t>
  </si>
  <si>
    <t>Period (Months) - {360,180,84}</t>
  </si>
  <si>
    <t>Pass-Through Rate (Net Interest Rate) (&lt; WAC)</t>
  </si>
  <si>
    <t>Outstanding Balance</t>
  </si>
  <si>
    <t>https://www.youtube.com/watch?v=iO9TBOV7LRo</t>
  </si>
  <si>
    <t>CPR</t>
  </si>
  <si>
    <t>Constant Prepayment Rate (CPR)</t>
  </si>
  <si>
    <t>Prepayment Speed Assumption [1-2.5]</t>
  </si>
  <si>
    <t>Total Profit</t>
  </si>
  <si>
    <t># Seasoned Months</t>
  </si>
  <si>
    <t>Scheduled Principal</t>
  </si>
  <si>
    <t>Prepaid Flag</t>
  </si>
  <si>
    <t>Prepayment Amount</t>
  </si>
  <si>
    <t>Total Prepaid</t>
  </si>
  <si>
    <t>Total Loss</t>
  </si>
  <si>
    <t>Maximum Return</t>
  </si>
  <si>
    <t>Payments Amortized</t>
  </si>
  <si>
    <t xml:space="preserve">Period of Loan (Months) </t>
  </si>
  <si>
    <t>Payment Amortized (Fixed Balance)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</si>
</sst>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9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2" applyNumberFormat="0" applyAlignment="0" applyProtection="0"/>
    <xf numFmtId="43" fontId="1" fillId="0" borderId="0" applyFont="0" applyFill="0" applyBorder="0" applyAlignment="0" applyProtection="0"/>
    <xf numFmtId="0" fontId="5" fillId="3" borderId="3" applyNumberFormat="0" applyAlignment="0" applyProtection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3" fillId="2" borderId="2" xfId="4"/>
    <xf numFmtId="44" fontId="3" fillId="2" borderId="2" xfId="1" applyFont="1" applyFill="1" applyBorder="1"/>
    <xf numFmtId="0" fontId="0" fillId="0" borderId="0" xfId="0" applyAlignment="1">
      <alignment horizontal="center"/>
    </xf>
    <xf numFmtId="0" fontId="6" fillId="0" borderId="0" xfId="7"/>
    <xf numFmtId="0" fontId="7" fillId="0" borderId="0" xfId="7" applyFont="1"/>
    <xf numFmtId="44" fontId="0" fillId="0" borderId="0" xfId="0" applyNumberFormat="1"/>
    <xf numFmtId="10" fontId="3" fillId="2" borderId="2" xfId="2" applyNumberFormat="1" applyFont="1" applyFill="1" applyBorder="1"/>
    <xf numFmtId="164" fontId="3" fillId="2" borderId="2" xfId="2" applyNumberFormat="1" applyFont="1" applyFill="1" applyBorder="1"/>
    <xf numFmtId="8" fontId="0" fillId="0" borderId="0" xfId="0" applyNumberFormat="1"/>
    <xf numFmtId="0" fontId="7" fillId="0" borderId="0" xfId="7" applyFont="1" applyAlignment="1">
      <alignment horizontal="right"/>
    </xf>
    <xf numFmtId="0" fontId="5" fillId="3" borderId="3" xfId="6"/>
    <xf numFmtId="0" fontId="5" fillId="3" borderId="3" xfId="6" applyAlignment="1"/>
    <xf numFmtId="44" fontId="3" fillId="2" borderId="2" xfId="4" applyNumberFormat="1"/>
    <xf numFmtId="0" fontId="2" fillId="4" borderId="1" xfId="3" applyFill="1" applyAlignment="1"/>
    <xf numFmtId="0" fontId="8" fillId="4" borderId="1" xfId="3" applyFont="1" applyFill="1" applyAlignment="1">
      <alignment horizontal="center"/>
    </xf>
    <xf numFmtId="44" fontId="3" fillId="2" borderId="2" xfId="4" applyNumberFormat="1" applyAlignment="1">
      <alignment horizontal="right"/>
    </xf>
    <xf numFmtId="0" fontId="3" fillId="2" borderId="2" xfId="4" applyAlignment="1">
      <alignment horizontal="right"/>
    </xf>
    <xf numFmtId="0" fontId="8" fillId="5" borderId="1" xfId="3" applyFont="1" applyFill="1" applyAlignment="1">
      <alignment horizontal="center"/>
    </xf>
    <xf numFmtId="0" fontId="0" fillId="0" borderId="0" xfId="5" applyNumberFormat="1" applyFont="1"/>
    <xf numFmtId="165" fontId="0" fillId="0" borderId="0" xfId="0" applyNumberFormat="1"/>
    <xf numFmtId="0" fontId="4" fillId="5" borderId="1" xfId="3" applyFont="1" applyFill="1" applyAlignment="1">
      <alignment horizontal="center" wrapText="1"/>
    </xf>
    <xf numFmtId="8" fontId="3" fillId="2" borderId="2" xfId="4" applyNumberFormat="1" applyAlignment="1">
      <alignment horizontal="right"/>
    </xf>
    <xf numFmtId="8" fontId="3" fillId="2" borderId="2" xfId="4" applyNumberFormat="1"/>
    <xf numFmtId="44" fontId="0" fillId="0" borderId="0" xfId="1" applyFont="1"/>
    <xf numFmtId="0" fontId="3" fillId="2" borderId="2" xfId="4" applyNumberFormat="1"/>
    <xf numFmtId="0" fontId="4" fillId="5" borderId="1" xfId="5" applyNumberFormat="1" applyFont="1" applyFill="1" applyBorder="1" applyAlignment="1">
      <alignment horizontal="center" wrapText="1"/>
    </xf>
    <xf numFmtId="0" fontId="9" fillId="5" borderId="1" xfId="3" applyFont="1" applyFill="1" applyAlignment="1">
      <alignment horizontal="center"/>
    </xf>
    <xf numFmtId="0" fontId="10" fillId="5" borderId="1" xfId="3" applyFont="1" applyFill="1" applyAlignment="1">
      <alignment horizontal="center" wrapText="1"/>
    </xf>
    <xf numFmtId="44" fontId="10" fillId="5" borderId="1" xfId="3" applyNumberFormat="1" applyFont="1" applyFill="1" applyAlignment="1">
      <alignment horizontal="center" wrapText="1"/>
    </xf>
    <xf numFmtId="0" fontId="10" fillId="5" borderId="1" xfId="3" applyFont="1" applyFill="1" applyAlignment="1">
      <alignment horizontal="center"/>
    </xf>
    <xf numFmtId="0" fontId="2" fillId="5" borderId="1" xfId="3" applyFill="1"/>
  </cellXfs>
  <cellStyles count="8">
    <cellStyle name="Comma" xfId="5" builtinId="3"/>
    <cellStyle name="Currency" xfId="1" builtinId="4"/>
    <cellStyle name="Heading 1" xfId="3" builtinId="16"/>
    <cellStyle name="Hyperlink" xfId="7" builtinId="8"/>
    <cellStyle name="Input" xfId="4" builtinId="20"/>
    <cellStyle name="Normal" xfId="0" builtinId="0"/>
    <cellStyle name="Output" xfId="6" builtinId="21"/>
    <cellStyle name="Percent" xfId="2" builtinId="5"/>
  </cellStyles>
  <dxfs count="9"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numFmt numFmtId="166" formatCode=";;;"/>
    </dxf>
    <dxf>
      <numFmt numFmtId="166" formatCode=";;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iO9TBOV7LR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1"/>
  <sheetViews>
    <sheetView tabSelected="1" zoomScale="118" workbookViewId="0">
      <pane ySplit="1" topLeftCell="A2" activePane="bottomLeft" state="frozen"/>
      <selection pane="bottomLeft" activeCell="P19" sqref="P19"/>
    </sheetView>
  </sheetViews>
  <sheetFormatPr baseColWidth="10" defaultColWidth="8.83203125" defaultRowHeight="15" x14ac:dyDescent="0.2"/>
  <cols>
    <col min="1" max="1" width="9.83203125" customWidth="1"/>
    <col min="2" max="2" width="11.33203125" customWidth="1"/>
    <col min="3" max="3" width="17.5" customWidth="1"/>
    <col min="4" max="4" width="13" customWidth="1"/>
    <col min="5" max="5" width="9.6640625" style="19" customWidth="1"/>
    <col min="6" max="6" width="16" customWidth="1"/>
    <col min="7" max="7" width="16.83203125" customWidth="1"/>
    <col min="8" max="8" width="15.1640625" customWidth="1"/>
    <col min="9" max="9" width="10.5" customWidth="1"/>
    <col min="10" max="10" width="13.83203125" customWidth="1"/>
    <col min="11" max="11" width="11.5" customWidth="1"/>
    <col min="12" max="12" width="19.83203125" customWidth="1"/>
    <col min="14" max="14" width="43.83203125" customWidth="1"/>
    <col min="15" max="15" width="18.83203125" customWidth="1"/>
    <col min="16" max="16" width="24.83203125" customWidth="1"/>
    <col min="17" max="17" width="18.1640625" customWidth="1"/>
    <col min="18" max="18" width="34.33203125" customWidth="1"/>
    <col min="19" max="19" width="15" customWidth="1"/>
    <col min="20" max="20" width="13.6640625" customWidth="1"/>
    <col min="21" max="21" width="11" customWidth="1"/>
    <col min="22" max="23" width="10.5" customWidth="1"/>
  </cols>
  <sheetData>
    <row r="1" spans="1:22" ht="34.5" customHeight="1" thickBot="1" x14ac:dyDescent="0.3">
      <c r="A1" s="21" t="s">
        <v>9</v>
      </c>
      <c r="B1" s="21" t="s">
        <v>8</v>
      </c>
      <c r="C1" s="21" t="s">
        <v>24</v>
      </c>
      <c r="D1" s="21" t="s">
        <v>26</v>
      </c>
      <c r="E1" s="26" t="s">
        <v>10</v>
      </c>
      <c r="F1" s="21" t="s">
        <v>11</v>
      </c>
      <c r="G1" s="21" t="s">
        <v>3</v>
      </c>
      <c r="H1" s="21" t="s">
        <v>12</v>
      </c>
      <c r="I1" s="21" t="s">
        <v>13</v>
      </c>
      <c r="J1" s="21" t="s">
        <v>14</v>
      </c>
      <c r="K1" s="21" t="s">
        <v>15</v>
      </c>
      <c r="L1" s="21" t="s">
        <v>16</v>
      </c>
      <c r="N1" s="18" t="s">
        <v>1</v>
      </c>
      <c r="O1" s="15"/>
      <c r="P1" s="18" t="s">
        <v>21</v>
      </c>
      <c r="Q1" s="14"/>
    </row>
    <row r="2" spans="1:22" ht="16" thickTop="1" x14ac:dyDescent="0.2">
      <c r="A2">
        <f t="shared" ref="A2:A65" si="0">IF(ROW(A2)-1&gt;$O$4,"",ROW(A2)-1)</f>
        <v>1</v>
      </c>
      <c r="B2" s="10" t="str">
        <f>IF((O4-O5)&lt;1, "1", O4-O5)</f>
        <v>1</v>
      </c>
      <c r="C2" s="6">
        <f>O3</f>
        <v>30000000</v>
      </c>
      <c r="D2" s="20">
        <f>1-(1-(E2/100))^12</f>
        <v>2.3997360175975757E-4</v>
      </c>
      <c r="E2" s="19">
        <f t="shared" ref="E2:E31" si="1">IFERROR(1-(1-$O$7*(B2/30)*$O$9)^$O$9,0)</f>
        <v>2.0000000000000018E-3</v>
      </c>
      <c r="F2" s="9">
        <f t="shared" ref="F2:F65" si="2">IFERROR(-PMT($O$2, $O$4, C2, 0,0),0)</f>
        <v>900021.52048229915</v>
      </c>
      <c r="G2" s="6">
        <f t="shared" ref="G2:G65" si="3">C2*$O$2</f>
        <v>900000</v>
      </c>
      <c r="H2" s="6">
        <f t="shared" ref="H2:H65" si="4">C2*$O$6</f>
        <v>810000</v>
      </c>
      <c r="I2" s="9">
        <f>F2-G2</f>
        <v>21.520482299150899</v>
      </c>
      <c r="J2" s="6">
        <f>E2*(C2-I2)</f>
        <v>59999.956959035459</v>
      </c>
      <c r="K2" s="9">
        <f>(I2+J2)</f>
        <v>60021.477441334609</v>
      </c>
      <c r="L2" s="6">
        <f>(H2+K2)</f>
        <v>870021.47744133463</v>
      </c>
      <c r="N2" s="11" t="s">
        <v>5</v>
      </c>
      <c r="O2" s="8">
        <v>0.03</v>
      </c>
      <c r="P2" s="12" t="s">
        <v>20</v>
      </c>
      <c r="Q2" s="16">
        <f ca="1">SUM(L2:L361)</f>
        <v>53786870.042697556</v>
      </c>
    </row>
    <row r="3" spans="1:22" x14ac:dyDescent="0.2">
      <c r="A3">
        <f t="shared" si="0"/>
        <v>2</v>
      </c>
      <c r="B3" s="5">
        <f t="shared" ref="B3:B66" ca="1" si="5">IF(ROW(B3)-1&gt;$O$5, "", OFFSET(B2, 0,0)+1)</f>
        <v>2</v>
      </c>
      <c r="C3" s="6">
        <f>IFERROR(C2-K2,0)</f>
        <v>29939978.522558667</v>
      </c>
      <c r="D3" s="20">
        <f t="shared" ref="D3:D66" ca="1" si="6">1-(1-(E3/100))^12</f>
        <v>4.798944140792516E-4</v>
      </c>
      <c r="E3" s="19">
        <f t="shared" ca="1" si="1"/>
        <v>4.0000000000000036E-3</v>
      </c>
      <c r="F3" s="9">
        <f t="shared" si="2"/>
        <v>898220.83310268773</v>
      </c>
      <c r="G3" s="6">
        <f t="shared" si="3"/>
        <v>898199.35567675997</v>
      </c>
      <c r="H3" s="6">
        <f t="shared" si="4"/>
        <v>808379.42010908399</v>
      </c>
      <c r="I3" s="9">
        <f>F3-G3</f>
        <v>21.477425927761942</v>
      </c>
      <c r="J3" s="6">
        <f ca="1">E3*(C3-I3)</f>
        <v>119759.82818053105</v>
      </c>
      <c r="K3" s="9">
        <f ca="1">(I3+J3)</f>
        <v>119781.30560645882</v>
      </c>
      <c r="L3" s="6">
        <f ca="1">(H3+K3)</f>
        <v>928160.72571554279</v>
      </c>
      <c r="N3" s="11" t="s">
        <v>4</v>
      </c>
      <c r="O3" s="2">
        <v>30000000</v>
      </c>
      <c r="P3" s="12" t="s">
        <v>29</v>
      </c>
      <c r="Q3" s="16">
        <f ca="1">SUM(H2:H361)</f>
        <v>23786870.058431398</v>
      </c>
    </row>
    <row r="4" spans="1:22" x14ac:dyDescent="0.2">
      <c r="A4">
        <f t="shared" si="0"/>
        <v>3</v>
      </c>
      <c r="B4" s="5">
        <f t="shared" ca="1" si="5"/>
        <v>3</v>
      </c>
      <c r="C4" s="6">
        <f t="shared" ref="C4:C67" ca="1" si="7">IFERROR(C3-K3,0)</f>
        <v>29820197.216952208</v>
      </c>
      <c r="D4" s="20">
        <f t="shared" ca="1" si="6"/>
        <v>7.1976244751326135E-4</v>
      </c>
      <c r="E4" s="19">
        <f t="shared" ca="1" si="1"/>
        <v>6.0000000000000053E-3</v>
      </c>
      <c r="F4" s="9">
        <f t="shared" ca="1" si="2"/>
        <v>894627.30800944497</v>
      </c>
      <c r="G4" s="6">
        <f t="shared" ca="1" si="3"/>
        <v>894605.91650856624</v>
      </c>
      <c r="H4" s="6">
        <f t="shared" ca="1" si="4"/>
        <v>805145.32485770958</v>
      </c>
      <c r="I4" s="9">
        <f ca="1">F4-G4</f>
        <v>21.391500878729858</v>
      </c>
      <c r="J4" s="6">
        <f ca="1">E4*(C4-I4)</f>
        <v>178921.05495270813</v>
      </c>
      <c r="K4" s="9">
        <f ca="1">(I4+J4)</f>
        <v>178942.44645358686</v>
      </c>
      <c r="L4" s="6">
        <f ca="1">(H4+K4)</f>
        <v>984087.77131129638</v>
      </c>
      <c r="N4" s="11" t="s">
        <v>22</v>
      </c>
      <c r="O4" s="1">
        <v>360</v>
      </c>
      <c r="P4" s="11"/>
      <c r="Q4" s="1"/>
    </row>
    <row r="5" spans="1:22" x14ac:dyDescent="0.2">
      <c r="A5">
        <f t="shared" si="0"/>
        <v>4</v>
      </c>
      <c r="B5" s="5">
        <f t="shared" ca="1" si="5"/>
        <v>4</v>
      </c>
      <c r="C5" s="6">
        <f t="shared" ca="1" si="7"/>
        <v>29641254.770498622</v>
      </c>
      <c r="D5" s="20">
        <f t="shared" ca="1" si="6"/>
        <v>9.5957771261934166E-4</v>
      </c>
      <c r="E5" s="19">
        <f t="shared" ca="1" si="1"/>
        <v>8.0000000000000071E-3</v>
      </c>
      <c r="F5" s="9">
        <f t="shared" ca="1" si="2"/>
        <v>889258.90625157906</v>
      </c>
      <c r="G5" s="6">
        <f t="shared" ca="1" si="3"/>
        <v>889237.64311495866</v>
      </c>
      <c r="H5" s="6">
        <f t="shared" ca="1" si="4"/>
        <v>800313.87880346284</v>
      </c>
      <c r="I5" s="9">
        <f t="shared" ref="I5:I68" ca="1" si="8">F5-G5</f>
        <v>21.263136620400473</v>
      </c>
      <c r="J5" s="6">
        <f t="shared" ref="J5:J68" ca="1" si="9">E5*(C5-I5)</f>
        <v>237129.86805889622</v>
      </c>
      <c r="K5" s="9">
        <f t="shared" ref="K5:K68" ca="1" si="10">(I5+J5)</f>
        <v>237151.13119551662</v>
      </c>
      <c r="L5" s="6">
        <f t="shared" ref="L5:L68" ca="1" si="11">(H5+K5)</f>
        <v>1037465.0099989795</v>
      </c>
      <c r="N5" s="11" t="s">
        <v>6</v>
      </c>
      <c r="O5" s="1">
        <v>360</v>
      </c>
      <c r="P5" s="12"/>
      <c r="Q5" s="17"/>
    </row>
    <row r="6" spans="1:22" x14ac:dyDescent="0.2">
      <c r="A6">
        <f t="shared" si="0"/>
        <v>5</v>
      </c>
      <c r="B6" s="5">
        <f t="shared" ca="1" si="5"/>
        <v>5</v>
      </c>
      <c r="C6" s="6">
        <f t="shared" ca="1" si="7"/>
        <v>29404103.639303107</v>
      </c>
      <c r="D6" s="20">
        <f t="shared" ca="1" si="6"/>
        <v>1.1993402199502734E-3</v>
      </c>
      <c r="E6" s="19">
        <f t="shared" ca="1" si="1"/>
        <v>1.0000000000000009E-2</v>
      </c>
      <c r="F6" s="9">
        <f t="shared" ca="1" si="2"/>
        <v>882144.20219548955</v>
      </c>
      <c r="G6" s="6">
        <f t="shared" ca="1" si="3"/>
        <v>882123.10917909315</v>
      </c>
      <c r="H6" s="6">
        <f t="shared" ca="1" si="4"/>
        <v>793910.7982611839</v>
      </c>
      <c r="I6" s="9">
        <f t="shared" ca="1" si="8"/>
        <v>21.093016396393068</v>
      </c>
      <c r="J6" s="6">
        <f t="shared" ca="1" si="9"/>
        <v>294040.82546286733</v>
      </c>
      <c r="K6" s="9">
        <f t="shared" ca="1" si="10"/>
        <v>294061.91847926372</v>
      </c>
      <c r="L6" s="6">
        <f t="shared" ca="1" si="11"/>
        <v>1087972.7167404476</v>
      </c>
      <c r="N6" s="11" t="s">
        <v>23</v>
      </c>
      <c r="O6" s="7">
        <v>2.7E-2</v>
      </c>
      <c r="P6" s="12"/>
      <c r="Q6" s="17"/>
    </row>
    <row r="7" spans="1:22" x14ac:dyDescent="0.2">
      <c r="A7">
        <f t="shared" si="0"/>
        <v>6</v>
      </c>
      <c r="B7" s="5">
        <f t="shared" ca="1" si="5"/>
        <v>6</v>
      </c>
      <c r="C7" s="6">
        <f t="shared" ca="1" si="7"/>
        <v>29110041.720823843</v>
      </c>
      <c r="D7" s="20">
        <f t="shared" ca="1" si="6"/>
        <v>1.4390499800577272E-3</v>
      </c>
      <c r="E7" s="19">
        <f t="shared" ca="1" si="1"/>
        <v>1.2000000000000011E-2</v>
      </c>
      <c r="F7" s="9">
        <f t="shared" ca="1" si="2"/>
        <v>873322.13369596796</v>
      </c>
      <c r="G7" s="6">
        <f t="shared" ca="1" si="3"/>
        <v>873301.25162471528</v>
      </c>
      <c r="H7" s="6">
        <f t="shared" ca="1" si="4"/>
        <v>785971.12646224373</v>
      </c>
      <c r="I7" s="9">
        <f t="shared" ca="1" si="8"/>
        <v>20.882071252679452</v>
      </c>
      <c r="J7" s="6">
        <f t="shared" ca="1" si="9"/>
        <v>349320.2500650314</v>
      </c>
      <c r="K7" s="9">
        <f t="shared" ca="1" si="10"/>
        <v>349341.13213628408</v>
      </c>
      <c r="L7" s="6">
        <f t="shared" ca="1" si="11"/>
        <v>1135312.2585985279</v>
      </c>
      <c r="N7" s="11" t="s">
        <v>27</v>
      </c>
      <c r="O7" s="7">
        <v>0.06</v>
      </c>
      <c r="P7" s="12"/>
      <c r="Q7" s="17"/>
    </row>
    <row r="8" spans="1:22" x14ac:dyDescent="0.2">
      <c r="A8">
        <f t="shared" si="0"/>
        <v>7</v>
      </c>
      <c r="B8" s="5">
        <f t="shared" ca="1" si="5"/>
        <v>7</v>
      </c>
      <c r="C8" s="6">
        <f t="shared" ca="1" si="7"/>
        <v>28760700.588687558</v>
      </c>
      <c r="D8" s="20">
        <f t="shared" ca="1" si="6"/>
        <v>1.6787070034904872E-3</v>
      </c>
      <c r="E8" s="19">
        <f t="shared" ca="1" si="1"/>
        <v>1.4000000000000012E-2</v>
      </c>
      <c r="F8" s="9">
        <f t="shared" ca="1" si="2"/>
        <v>862841.64913222427</v>
      </c>
      <c r="G8" s="6">
        <f t="shared" ca="1" si="3"/>
        <v>862821.01766062668</v>
      </c>
      <c r="H8" s="6">
        <f t="shared" ca="1" si="4"/>
        <v>776538.91589456401</v>
      </c>
      <c r="I8" s="9">
        <f t="shared" ca="1" si="8"/>
        <v>20.631471597589552</v>
      </c>
      <c r="J8" s="6">
        <f t="shared" ca="1" si="9"/>
        <v>402649.5194010238</v>
      </c>
      <c r="K8" s="9">
        <f t="shared" ca="1" si="10"/>
        <v>402670.15087262139</v>
      </c>
      <c r="L8" s="6">
        <f t="shared" ca="1" si="11"/>
        <v>1179209.0667671855</v>
      </c>
      <c r="N8" s="11" t="s">
        <v>28</v>
      </c>
      <c r="O8" s="1">
        <v>1.5</v>
      </c>
      <c r="P8" s="12"/>
      <c r="Q8" s="17"/>
    </row>
    <row r="9" spans="1:22" x14ac:dyDescent="0.2">
      <c r="A9">
        <f t="shared" si="0"/>
        <v>8</v>
      </c>
      <c r="B9" s="5">
        <f t="shared" ca="1" si="5"/>
        <v>8</v>
      </c>
      <c r="C9" s="6">
        <f t="shared" ca="1" si="7"/>
        <v>28358030.437814936</v>
      </c>
      <c r="D9" s="20">
        <f t="shared" ca="1" si="6"/>
        <v>1.9183113007960051E-3</v>
      </c>
      <c r="E9" s="19">
        <f t="shared" ca="1" si="1"/>
        <v>1.6000000000000014E-2</v>
      </c>
      <c r="F9" s="9">
        <f t="shared" ca="1" si="2"/>
        <v>850761.25575085054</v>
      </c>
      <c r="G9" s="6">
        <f t="shared" ca="1" si="3"/>
        <v>850740.913134448</v>
      </c>
      <c r="H9" s="6">
        <f t="shared" ca="1" si="4"/>
        <v>765666.82182100322</v>
      </c>
      <c r="I9" s="9">
        <f t="shared" ca="1" si="8"/>
        <v>20.342616402544081</v>
      </c>
      <c r="J9" s="6">
        <f t="shared" ca="1" si="9"/>
        <v>453728.16152317694</v>
      </c>
      <c r="K9" s="9">
        <f t="shared" ca="1" si="10"/>
        <v>453748.50413957948</v>
      </c>
      <c r="L9" s="6">
        <f t="shared" ca="1" si="11"/>
        <v>1219415.3259605826</v>
      </c>
      <c r="N9" s="11" t="s">
        <v>17</v>
      </c>
      <c r="O9" s="1">
        <v>1</v>
      </c>
      <c r="P9" s="12"/>
      <c r="Q9" s="17"/>
    </row>
    <row r="10" spans="1:22" x14ac:dyDescent="0.2">
      <c r="A10">
        <f t="shared" si="0"/>
        <v>9</v>
      </c>
      <c r="B10" s="5">
        <f t="shared" ca="1" si="5"/>
        <v>9</v>
      </c>
      <c r="C10" s="6">
        <f t="shared" ca="1" si="7"/>
        <v>27904281.933675356</v>
      </c>
      <c r="D10" s="20">
        <f t="shared" ca="1" si="6"/>
        <v>2.1578628825199564E-3</v>
      </c>
      <c r="E10" s="19">
        <f t="shared" ca="1" si="1"/>
        <v>1.8000000000000016E-2</v>
      </c>
      <c r="F10" s="9">
        <f t="shared" ca="1" si="2"/>
        <v>837148.47513044137</v>
      </c>
      <c r="G10" s="6">
        <f t="shared" ca="1" si="3"/>
        <v>837128.4580102606</v>
      </c>
      <c r="H10" s="6">
        <f t="shared" ca="1" si="4"/>
        <v>753415.61220923462</v>
      </c>
      <c r="I10" s="9">
        <f t="shared" ca="1" si="8"/>
        <v>20.017120180767961</v>
      </c>
      <c r="J10" s="6">
        <f t="shared" ca="1" si="9"/>
        <v>502276.71449799358</v>
      </c>
      <c r="K10" s="9">
        <f t="shared" ca="1" si="10"/>
        <v>502296.73161817435</v>
      </c>
      <c r="L10" s="6">
        <f t="shared" ca="1" si="11"/>
        <v>1255712.343827409</v>
      </c>
      <c r="N10" s="11" t="s">
        <v>18</v>
      </c>
      <c r="O10" s="1"/>
      <c r="P10" s="12"/>
      <c r="Q10" s="17"/>
    </row>
    <row r="11" spans="1:22" x14ac:dyDescent="0.2">
      <c r="A11">
        <f t="shared" si="0"/>
        <v>10</v>
      </c>
      <c r="B11" s="5">
        <f t="shared" ca="1" si="5"/>
        <v>10</v>
      </c>
      <c r="C11" s="6">
        <f t="shared" ca="1" si="7"/>
        <v>27401985.202057183</v>
      </c>
      <c r="D11" s="20">
        <f t="shared" ca="1" si="6"/>
        <v>2.3973617592081276E-3</v>
      </c>
      <c r="E11" s="19">
        <f t="shared" ca="1" si="1"/>
        <v>2.0000000000000018E-2</v>
      </c>
      <c r="F11" s="9">
        <f t="shared" ca="1" si="2"/>
        <v>822079.2128596321</v>
      </c>
      <c r="G11" s="6">
        <f t="shared" ca="1" si="3"/>
        <v>822059.55606171547</v>
      </c>
      <c r="H11" s="6">
        <f t="shared" ca="1" si="4"/>
        <v>739853.60045554396</v>
      </c>
      <c r="I11" s="9">
        <f t="shared" ca="1" si="8"/>
        <v>19.65679791662842</v>
      </c>
      <c r="J11" s="6">
        <f t="shared" ca="1" si="9"/>
        <v>548039.31090518588</v>
      </c>
      <c r="K11" s="9">
        <f t="shared" ca="1" si="10"/>
        <v>548058.96770310251</v>
      </c>
      <c r="L11" s="6">
        <f t="shared" ca="1" si="11"/>
        <v>1287912.5681586466</v>
      </c>
      <c r="N11" s="11" t="s">
        <v>19</v>
      </c>
      <c r="O11" s="1"/>
      <c r="P11" s="12"/>
      <c r="Q11" s="17"/>
      <c r="V11" s="3"/>
    </row>
    <row r="12" spans="1:22" x14ac:dyDescent="0.2">
      <c r="A12">
        <f t="shared" si="0"/>
        <v>11</v>
      </c>
      <c r="B12" s="5">
        <f t="shared" ca="1" si="5"/>
        <v>11</v>
      </c>
      <c r="C12" s="6">
        <f t="shared" ca="1" si="7"/>
        <v>26853926.234354079</v>
      </c>
      <c r="D12" s="20">
        <f t="shared" ca="1" si="6"/>
        <v>2.6368079414008649E-3</v>
      </c>
      <c r="E12" s="19">
        <f t="shared" ca="1" si="1"/>
        <v>2.200000000000002E-2</v>
      </c>
      <c r="F12" s="9">
        <f t="shared" ca="1" si="2"/>
        <v>805637.05067876191</v>
      </c>
      <c r="G12" s="6">
        <f t="shared" ca="1" si="3"/>
        <v>805617.78703062236</v>
      </c>
      <c r="H12" s="6">
        <f t="shared" ca="1" si="4"/>
        <v>725056.00832756015</v>
      </c>
      <c r="I12" s="9">
        <f t="shared" ca="1" si="8"/>
        <v>19.263648139545694</v>
      </c>
      <c r="J12" s="6">
        <f t="shared" ca="1" si="9"/>
        <v>590785.95335553121</v>
      </c>
      <c r="K12" s="9">
        <f t="shared" ca="1" si="10"/>
        <v>590805.21700367075</v>
      </c>
      <c r="L12" s="6">
        <f t="shared" ca="1" si="11"/>
        <v>1315861.225331231</v>
      </c>
      <c r="N12" s="11" t="s">
        <v>2</v>
      </c>
      <c r="O12" s="1"/>
      <c r="P12" s="12"/>
      <c r="Q12" s="17"/>
    </row>
    <row r="13" spans="1:22" x14ac:dyDescent="0.2">
      <c r="A13">
        <f t="shared" si="0"/>
        <v>12</v>
      </c>
      <c r="B13" s="5">
        <f t="shared" ca="1" si="5"/>
        <v>12</v>
      </c>
      <c r="C13" s="6">
        <f t="shared" ca="1" si="7"/>
        <v>26263121.017350409</v>
      </c>
      <c r="D13" s="20">
        <f t="shared" ca="1" si="6"/>
        <v>2.876201439638626E-3</v>
      </c>
      <c r="E13" s="19">
        <f t="shared" ca="1" si="1"/>
        <v>2.4000000000000021E-2</v>
      </c>
      <c r="F13" s="9">
        <f t="shared" ca="1" si="2"/>
        <v>787912.47035487799</v>
      </c>
      <c r="G13" s="6">
        <f t="shared" ca="1" si="3"/>
        <v>787893.63052051223</v>
      </c>
      <c r="H13" s="6">
        <f t="shared" ca="1" si="4"/>
        <v>709104.26746846107</v>
      </c>
      <c r="I13" s="9">
        <f t="shared" ca="1" si="8"/>
        <v>18.839834365760908</v>
      </c>
      <c r="J13" s="6">
        <f t="shared" ca="1" si="9"/>
        <v>630314.45226038562</v>
      </c>
      <c r="K13" s="9">
        <f t="shared" ca="1" si="10"/>
        <v>630333.29209475138</v>
      </c>
      <c r="L13" s="6">
        <f t="shared" ca="1" si="11"/>
        <v>1339437.5595632126</v>
      </c>
      <c r="N13" s="9"/>
      <c r="O13" s="9"/>
      <c r="P13" s="9"/>
    </row>
    <row r="14" spans="1:22" x14ac:dyDescent="0.2">
      <c r="A14">
        <f t="shared" si="0"/>
        <v>13</v>
      </c>
      <c r="B14" s="5">
        <f t="shared" ca="1" si="5"/>
        <v>13</v>
      </c>
      <c r="C14" s="6">
        <f t="shared" ca="1" si="7"/>
        <v>25632787.725255657</v>
      </c>
      <c r="D14" s="20">
        <f t="shared" ca="1" si="6"/>
        <v>3.1155422644588704E-3</v>
      </c>
      <c r="E14" s="19">
        <f t="shared" ca="1" si="1"/>
        <v>2.6000000000000023E-2</v>
      </c>
      <c r="F14" s="9">
        <f t="shared" ca="1" si="2"/>
        <v>769002.0194228203</v>
      </c>
      <c r="G14" s="6">
        <f t="shared" ca="1" si="3"/>
        <v>768983.63175766973</v>
      </c>
      <c r="H14" s="6">
        <f t="shared" ca="1" si="4"/>
        <v>692085.26858190272</v>
      </c>
      <c r="I14" s="9">
        <f t="shared" ca="1" si="8"/>
        <v>18.387665150570683</v>
      </c>
      <c r="J14" s="6">
        <f t="shared" ca="1" si="9"/>
        <v>666452.00277735386</v>
      </c>
      <c r="K14" s="9">
        <f t="shared" ca="1" si="10"/>
        <v>666470.39044250443</v>
      </c>
      <c r="L14" s="6">
        <f t="shared" ca="1" si="11"/>
        <v>1358555.6590244072</v>
      </c>
      <c r="N14" s="4" t="s">
        <v>25</v>
      </c>
      <c r="O14" s="9"/>
      <c r="P14" s="9"/>
    </row>
    <row r="15" spans="1:22" x14ac:dyDescent="0.2">
      <c r="A15">
        <f t="shared" si="0"/>
        <v>14</v>
      </c>
      <c r="B15" s="5">
        <f t="shared" ca="1" si="5"/>
        <v>14</v>
      </c>
      <c r="C15" s="6">
        <f t="shared" ca="1" si="7"/>
        <v>24966317.334813152</v>
      </c>
      <c r="D15" s="20">
        <f t="shared" ca="1" si="6"/>
        <v>3.3548304263980588E-3</v>
      </c>
      <c r="E15" s="19">
        <f t="shared" ca="1" si="1"/>
        <v>2.8000000000000025E-2</v>
      </c>
      <c r="F15" s="9">
        <f t="shared" ca="1" si="2"/>
        <v>749007.42961740377</v>
      </c>
      <c r="G15" s="6">
        <f t="shared" ca="1" si="3"/>
        <v>748989.52004439454</v>
      </c>
      <c r="H15" s="6">
        <f t="shared" ca="1" si="4"/>
        <v>674090.56803995511</v>
      </c>
      <c r="I15" s="9">
        <f t="shared" ca="1" si="8"/>
        <v>17.909573009237647</v>
      </c>
      <c r="J15" s="6">
        <f t="shared" ca="1" si="9"/>
        <v>699056.38390672463</v>
      </c>
      <c r="K15" s="9">
        <f t="shared" ca="1" si="10"/>
        <v>699074.29347973387</v>
      </c>
      <c r="L15" s="6">
        <f t="shared" ca="1" si="11"/>
        <v>1373164.861519689</v>
      </c>
      <c r="N15" s="9"/>
      <c r="O15" s="9"/>
      <c r="P15" s="9"/>
    </row>
    <row r="16" spans="1:22" x14ac:dyDescent="0.2">
      <c r="A16">
        <f t="shared" si="0"/>
        <v>15</v>
      </c>
      <c r="B16" s="5">
        <f t="shared" ca="1" si="5"/>
        <v>15</v>
      </c>
      <c r="C16" s="6">
        <f t="shared" ca="1" si="7"/>
        <v>24267243.041333418</v>
      </c>
      <c r="D16" s="20">
        <f t="shared" ca="1" si="6"/>
        <v>3.5940659359919858E-3</v>
      </c>
      <c r="E16" s="19">
        <f t="shared" ca="1" si="1"/>
        <v>3.0000000000000027E-2</v>
      </c>
      <c r="F16" s="9">
        <f t="shared" ca="1" si="2"/>
        <v>728034.69933247985</v>
      </c>
      <c r="G16" s="6">
        <f t="shared" ca="1" si="3"/>
        <v>728017.29124000249</v>
      </c>
      <c r="H16" s="6">
        <f t="shared" ca="1" si="4"/>
        <v>655215.56211600231</v>
      </c>
      <c r="I16" s="9">
        <f t="shared" ca="1" si="8"/>
        <v>17.408092477358878</v>
      </c>
      <c r="J16" s="6">
        <f t="shared" ca="1" si="9"/>
        <v>728016.76899722894</v>
      </c>
      <c r="K16" s="9">
        <f t="shared" ca="1" si="10"/>
        <v>728034.1770897063</v>
      </c>
      <c r="L16" s="6">
        <f t="shared" ca="1" si="11"/>
        <v>1383249.7392057087</v>
      </c>
      <c r="N16" s="9"/>
      <c r="O16" s="9"/>
      <c r="P16" s="9"/>
    </row>
    <row r="17" spans="1:27" x14ac:dyDescent="0.2">
      <c r="A17">
        <f t="shared" si="0"/>
        <v>16</v>
      </c>
      <c r="B17" s="5">
        <f t="shared" ca="1" si="5"/>
        <v>16</v>
      </c>
      <c r="C17" s="6">
        <f t="shared" ca="1" si="7"/>
        <v>23539208.864243712</v>
      </c>
      <c r="D17" s="20">
        <f t="shared" ca="1" si="6"/>
        <v>3.8332488037716717E-3</v>
      </c>
      <c r="E17" s="19">
        <f t="shared" ca="1" si="1"/>
        <v>3.2000000000000028E-2</v>
      </c>
      <c r="F17" s="9">
        <f t="shared" ca="1" si="2"/>
        <v>706193.15176490124</v>
      </c>
      <c r="G17" s="6">
        <f t="shared" ca="1" si="3"/>
        <v>706176.26592731138</v>
      </c>
      <c r="H17" s="6">
        <f t="shared" ca="1" si="4"/>
        <v>635558.63933458028</v>
      </c>
      <c r="I17" s="9">
        <f ca="1">F17-G17</f>
        <v>16.885837589856237</v>
      </c>
      <c r="J17" s="6">
        <f t="shared" ca="1" si="9"/>
        <v>753254.14330899669</v>
      </c>
      <c r="K17" s="9">
        <f t="shared" ca="1" si="10"/>
        <v>753271.02914658654</v>
      </c>
      <c r="L17" s="6">
        <f t="shared" ca="1" si="11"/>
        <v>1388829.6684811669</v>
      </c>
      <c r="N17" s="9"/>
      <c r="O17" s="9"/>
      <c r="P17" s="9"/>
    </row>
    <row r="18" spans="1:27" x14ac:dyDescent="0.2">
      <c r="A18">
        <f t="shared" si="0"/>
        <v>17</v>
      </c>
      <c r="B18" s="5">
        <f t="shared" ca="1" si="5"/>
        <v>17</v>
      </c>
      <c r="C18" s="6">
        <f t="shared" ca="1" si="7"/>
        <v>22785937.835097127</v>
      </c>
      <c r="D18" s="20">
        <f t="shared" ca="1" si="6"/>
        <v>4.0723790402686921E-3</v>
      </c>
      <c r="E18" s="19">
        <f t="shared" ca="1" si="1"/>
        <v>3.400000000000003E-2</v>
      </c>
      <c r="F18" s="9">
        <f t="shared" ca="1" si="2"/>
        <v>683594.48053197539</v>
      </c>
      <c r="G18" s="6">
        <f t="shared" ca="1" si="3"/>
        <v>683578.1350529138</v>
      </c>
      <c r="H18" s="6">
        <f t="shared" ca="1" si="4"/>
        <v>615220.32154762244</v>
      </c>
      <c r="I18" s="9">
        <f t="shared" ca="1" si="8"/>
        <v>16.345479061594233</v>
      </c>
      <c r="J18" s="6">
        <f t="shared" ca="1" si="9"/>
        <v>774721.33064701501</v>
      </c>
      <c r="K18" s="9">
        <f t="shared" ca="1" si="10"/>
        <v>774737.67612607661</v>
      </c>
      <c r="L18" s="6">
        <f t="shared" ca="1" si="11"/>
        <v>1389957.9976736992</v>
      </c>
      <c r="N18" s="9"/>
      <c r="O18" s="9"/>
      <c r="P18" s="9"/>
    </row>
    <row r="19" spans="1:27" x14ac:dyDescent="0.2">
      <c r="A19">
        <f t="shared" si="0"/>
        <v>18</v>
      </c>
      <c r="B19" s="5">
        <f t="shared" ca="1" si="5"/>
        <v>18</v>
      </c>
      <c r="C19" s="6">
        <f t="shared" ca="1" si="7"/>
        <v>22011200.158971049</v>
      </c>
      <c r="D19" s="20">
        <f t="shared" ca="1" si="6"/>
        <v>4.3114566560115142E-3</v>
      </c>
      <c r="E19" s="19">
        <f t="shared" ca="1" si="1"/>
        <v>3.6000000000000032E-2</v>
      </c>
      <c r="F19" s="9">
        <f t="shared" ca="1" si="2"/>
        <v>660351.79449057824</v>
      </c>
      <c r="G19" s="6">
        <f t="shared" ca="1" si="3"/>
        <v>660336.00476913142</v>
      </c>
      <c r="H19" s="6">
        <f t="shared" ca="1" si="4"/>
        <v>594302.40429221827</v>
      </c>
      <c r="I19" s="9">
        <f t="shared" ca="1" si="8"/>
        <v>15.78972144681029</v>
      </c>
      <c r="J19" s="6">
        <f t="shared" ca="1" si="9"/>
        <v>792402.63729298639</v>
      </c>
      <c r="K19" s="9">
        <f t="shared" ca="1" si="10"/>
        <v>792418.4270144332</v>
      </c>
      <c r="L19" s="6">
        <f t="shared" ca="1" si="11"/>
        <v>1386720.8313066515</v>
      </c>
      <c r="N19" s="9"/>
      <c r="O19" s="9"/>
      <c r="P19" s="9"/>
    </row>
    <row r="20" spans="1:27" x14ac:dyDescent="0.2">
      <c r="A20">
        <f t="shared" si="0"/>
        <v>19</v>
      </c>
      <c r="B20" s="5">
        <f t="shared" ca="1" si="5"/>
        <v>19</v>
      </c>
      <c r="C20" s="6">
        <f t="shared" ca="1" si="7"/>
        <v>21218781.731956616</v>
      </c>
      <c r="D20" s="20">
        <f t="shared" ca="1" si="6"/>
        <v>4.5504816615257182E-3</v>
      </c>
      <c r="E20" s="19">
        <f t="shared" ca="1" si="1"/>
        <v>3.8000000000000034E-2</v>
      </c>
      <c r="F20" s="9">
        <f t="shared" ca="1" si="2"/>
        <v>636578.67323925416</v>
      </c>
      <c r="G20" s="6">
        <f t="shared" ca="1" si="3"/>
        <v>636563.45195869845</v>
      </c>
      <c r="H20" s="6">
        <f t="shared" ca="1" si="4"/>
        <v>572907.10676282865</v>
      </c>
      <c r="I20" s="9">
        <f t="shared" ca="1" si="8"/>
        <v>15.221280555706471</v>
      </c>
      <c r="J20" s="6">
        <f t="shared" ca="1" si="9"/>
        <v>806313.12740569096</v>
      </c>
      <c r="K20" s="9">
        <f t="shared" ca="1" si="10"/>
        <v>806328.34868624667</v>
      </c>
      <c r="L20" s="6">
        <f t="shared" ca="1" si="11"/>
        <v>1379235.4554490754</v>
      </c>
      <c r="N20" s="9"/>
      <c r="O20" s="9"/>
      <c r="P20" s="9"/>
    </row>
    <row r="21" spans="1:27" x14ac:dyDescent="0.2">
      <c r="A21">
        <f t="shared" si="0"/>
        <v>20</v>
      </c>
      <c r="B21" s="5">
        <f t="shared" ca="1" si="5"/>
        <v>20</v>
      </c>
      <c r="C21" s="6">
        <f t="shared" ca="1" si="7"/>
        <v>20412453.383270368</v>
      </c>
      <c r="D21" s="20">
        <f t="shared" ca="1" si="6"/>
        <v>4.7894540673352193E-3</v>
      </c>
      <c r="E21" s="19">
        <f t="shared" ca="1" si="1"/>
        <v>4.0000000000000036E-2</v>
      </c>
      <c r="F21" s="9">
        <f t="shared" ca="1" si="2"/>
        <v>612388.24435950152</v>
      </c>
      <c r="G21" s="6">
        <f t="shared" ca="1" si="3"/>
        <v>612373.60149811103</v>
      </c>
      <c r="H21" s="6">
        <f t="shared" ca="1" si="4"/>
        <v>551136.2413482999</v>
      </c>
      <c r="I21" s="9">
        <f t="shared" ca="1" si="8"/>
        <v>14.64286139048636</v>
      </c>
      <c r="J21" s="6">
        <f t="shared" ca="1" si="9"/>
        <v>816497.54961635987</v>
      </c>
      <c r="K21" s="9">
        <f t="shared" ca="1" si="10"/>
        <v>816512.19247775036</v>
      </c>
      <c r="L21" s="6">
        <f t="shared" ca="1" si="11"/>
        <v>1367648.4338260503</v>
      </c>
      <c r="N21" s="9"/>
      <c r="O21" s="9"/>
      <c r="P21" s="9"/>
    </row>
    <row r="22" spans="1:27" x14ac:dyDescent="0.2">
      <c r="A22">
        <f t="shared" si="0"/>
        <v>21</v>
      </c>
      <c r="B22" s="5">
        <f t="shared" ca="1" si="5"/>
        <v>21</v>
      </c>
      <c r="C22" s="6">
        <f t="shared" ca="1" si="7"/>
        <v>19595941.190792616</v>
      </c>
      <c r="D22" s="20">
        <f t="shared" ca="1" si="6"/>
        <v>5.0283738839668191E-3</v>
      </c>
      <c r="E22" s="19">
        <f t="shared" ca="1" si="1"/>
        <v>4.2000000000000037E-2</v>
      </c>
      <c r="F22" s="9">
        <f t="shared" ca="1" si="2"/>
        <v>587892.2928606295</v>
      </c>
      <c r="G22" s="6">
        <f t="shared" ca="1" si="3"/>
        <v>587878.23572377849</v>
      </c>
      <c r="H22" s="6">
        <f t="shared" ca="1" si="4"/>
        <v>529090.41215140058</v>
      </c>
      <c r="I22" s="9">
        <f t="shared" ca="1" si="8"/>
        <v>14.057136851013638</v>
      </c>
      <c r="J22" s="6">
        <f t="shared" ca="1" si="9"/>
        <v>823028.93961354287</v>
      </c>
      <c r="K22" s="9">
        <f t="shared" ca="1" si="10"/>
        <v>823042.99675039388</v>
      </c>
      <c r="L22" s="6">
        <f t="shared" ca="1" si="11"/>
        <v>1352133.4089017943</v>
      </c>
      <c r="N22" s="9"/>
      <c r="O22" s="9"/>
      <c r="P22" s="9"/>
    </row>
    <row r="23" spans="1:27" x14ac:dyDescent="0.2">
      <c r="A23">
        <f t="shared" si="0"/>
        <v>22</v>
      </c>
      <c r="B23" s="5">
        <f t="shared" ca="1" si="5"/>
        <v>22</v>
      </c>
      <c r="C23" s="6">
        <f t="shared" ca="1" si="7"/>
        <v>18772898.194042221</v>
      </c>
      <c r="D23" s="20">
        <f t="shared" ca="1" si="6"/>
        <v>5.2672411219398807E-3</v>
      </c>
      <c r="E23" s="19">
        <f t="shared" ca="1" si="1"/>
        <v>4.4000000000000039E-2</v>
      </c>
      <c r="F23" s="9">
        <f t="shared" ca="1" si="2"/>
        <v>563200.41254870954</v>
      </c>
      <c r="G23" s="6">
        <f t="shared" ca="1" si="3"/>
        <v>563186.94582126662</v>
      </c>
      <c r="H23" s="6">
        <f t="shared" ca="1" si="4"/>
        <v>506868.25123913994</v>
      </c>
      <c r="I23" s="9">
        <f t="shared" ca="1" si="8"/>
        <v>13.466727442923002</v>
      </c>
      <c r="J23" s="6">
        <f t="shared" ca="1" si="9"/>
        <v>826006.92800185096</v>
      </c>
      <c r="K23" s="9">
        <f t="shared" ca="1" si="10"/>
        <v>826020.39472929388</v>
      </c>
      <c r="L23" s="6">
        <f t="shared" ca="1" si="11"/>
        <v>1332888.6459684339</v>
      </c>
      <c r="N23" s="9"/>
      <c r="O23" s="9"/>
      <c r="P23" s="9"/>
    </row>
    <row r="24" spans="1:27" x14ac:dyDescent="0.2">
      <c r="A24">
        <f t="shared" si="0"/>
        <v>23</v>
      </c>
      <c r="B24" s="5">
        <f t="shared" ca="1" si="5"/>
        <v>23</v>
      </c>
      <c r="C24" s="6">
        <f t="shared" ca="1" si="7"/>
        <v>17946877.799312927</v>
      </c>
      <c r="D24" s="20">
        <f t="shared" ca="1" si="6"/>
        <v>5.5060557917731012E-3</v>
      </c>
      <c r="E24" s="19">
        <f t="shared" ca="1" si="1"/>
        <v>4.6000000000000041E-2</v>
      </c>
      <c r="F24" s="9">
        <f t="shared" ca="1" si="2"/>
        <v>538419.20816158783</v>
      </c>
      <c r="G24" s="6">
        <f t="shared" ca="1" si="3"/>
        <v>538406.33397938777</v>
      </c>
      <c r="H24" s="6">
        <f t="shared" ca="1" si="4"/>
        <v>484565.70058144903</v>
      </c>
      <c r="I24" s="9">
        <f t="shared" ca="1" si="8"/>
        <v>12.874182200059295</v>
      </c>
      <c r="J24" s="6">
        <f t="shared" ca="1" si="9"/>
        <v>825555.78655601409</v>
      </c>
      <c r="K24" s="9">
        <f t="shared" ca="1" si="10"/>
        <v>825568.66073821415</v>
      </c>
      <c r="L24" s="6">
        <f t="shared" ca="1" si="11"/>
        <v>1310134.3613196632</v>
      </c>
      <c r="N24" s="9"/>
      <c r="O24" s="9"/>
      <c r="P24" s="9"/>
    </row>
    <row r="25" spans="1:27" x14ac:dyDescent="0.2">
      <c r="A25">
        <f t="shared" si="0"/>
        <v>24</v>
      </c>
      <c r="B25" s="5">
        <f t="shared" ca="1" si="5"/>
        <v>24</v>
      </c>
      <c r="C25" s="6">
        <f t="shared" ca="1" si="7"/>
        <v>17121309.138574712</v>
      </c>
      <c r="D25" s="20">
        <f t="shared" ca="1" si="6"/>
        <v>5.7448179039839564E-3</v>
      </c>
      <c r="E25" s="19">
        <f t="shared" ca="1" si="1"/>
        <v>4.8000000000000043E-2</v>
      </c>
      <c r="F25" s="9">
        <f t="shared" ca="1" si="2"/>
        <v>513651.55611824978</v>
      </c>
      <c r="G25" s="6">
        <f t="shared" ca="1" si="3"/>
        <v>513639.27415724134</v>
      </c>
      <c r="H25" s="6">
        <f t="shared" ca="1" si="4"/>
        <v>462275.34674151719</v>
      </c>
      <c r="I25" s="9">
        <f t="shared" ca="1" si="8"/>
        <v>12.281961008440703</v>
      </c>
      <c r="J25" s="6">
        <f t="shared" ca="1" si="9"/>
        <v>821822.24911745847</v>
      </c>
      <c r="K25" s="9">
        <f t="shared" ca="1" si="10"/>
        <v>821834.53107846691</v>
      </c>
      <c r="L25" s="6">
        <f t="shared" ca="1" si="11"/>
        <v>1284109.8778199842</v>
      </c>
      <c r="N25" s="9"/>
      <c r="O25" s="9"/>
      <c r="P25" s="9"/>
    </row>
    <row r="26" spans="1:27" x14ac:dyDescent="0.2">
      <c r="A26">
        <f t="shared" si="0"/>
        <v>25</v>
      </c>
      <c r="B26" s="5">
        <f t="shared" ca="1" si="5"/>
        <v>25</v>
      </c>
      <c r="C26" s="6">
        <f t="shared" ca="1" si="7"/>
        <v>16299474.607496245</v>
      </c>
      <c r="D26" s="20">
        <f t="shared" ca="1" si="6"/>
        <v>5.9835274690863693E-3</v>
      </c>
      <c r="E26" s="19">
        <f t="shared" ca="1" si="1"/>
        <v>5.0000000000000044E-2</v>
      </c>
      <c r="F26" s="9">
        <f t="shared" ca="1" si="2"/>
        <v>488995.93064337986</v>
      </c>
      <c r="G26" s="6">
        <f t="shared" ca="1" si="3"/>
        <v>488984.23822488735</v>
      </c>
      <c r="H26" s="6">
        <f t="shared" ca="1" si="4"/>
        <v>440085.8144023986</v>
      </c>
      <c r="I26" s="9">
        <f t="shared" ca="1" si="8"/>
        <v>11.692418492515571</v>
      </c>
      <c r="J26" s="6">
        <f t="shared" ca="1" si="9"/>
        <v>814973.1457538883</v>
      </c>
      <c r="K26" s="9">
        <f t="shared" ca="1" si="10"/>
        <v>814984.83817238081</v>
      </c>
      <c r="L26" s="6">
        <f t="shared" ca="1" si="11"/>
        <v>1255070.6525747795</v>
      </c>
      <c r="N26" s="9"/>
      <c r="O26" s="9"/>
      <c r="P26" s="9"/>
    </row>
    <row r="27" spans="1:27" x14ac:dyDescent="0.2">
      <c r="A27">
        <f t="shared" si="0"/>
        <v>26</v>
      </c>
      <c r="B27" s="5">
        <f t="shared" ca="1" si="5"/>
        <v>26</v>
      </c>
      <c r="C27" s="6">
        <f t="shared" ca="1" si="7"/>
        <v>15484489.769323863</v>
      </c>
      <c r="D27" s="20">
        <f t="shared" ca="1" si="6"/>
        <v>6.2221844975977048E-3</v>
      </c>
      <c r="E27" s="19">
        <f t="shared" ca="1" si="1"/>
        <v>5.2000000000000046E-2</v>
      </c>
      <c r="F27" s="9">
        <f t="shared" ca="1" si="2"/>
        <v>464545.80086931563</v>
      </c>
      <c r="G27" s="6">
        <f t="shared" ca="1" si="3"/>
        <v>464534.69307971589</v>
      </c>
      <c r="H27" s="6">
        <f t="shared" ca="1" si="4"/>
        <v>418081.22377174429</v>
      </c>
      <c r="I27" s="9">
        <f t="shared" ca="1" si="8"/>
        <v>11.107789599744137</v>
      </c>
      <c r="J27" s="6">
        <f t="shared" ca="1" si="9"/>
        <v>805192.89039978234</v>
      </c>
      <c r="K27" s="9">
        <f t="shared" ca="1" si="10"/>
        <v>805203.99818938202</v>
      </c>
      <c r="L27" s="6">
        <f t="shared" ca="1" si="11"/>
        <v>1223285.2219611262</v>
      </c>
      <c r="N27" s="9"/>
      <c r="O27" s="9"/>
      <c r="P27" s="9"/>
      <c r="AA27" t="s">
        <v>7</v>
      </c>
    </row>
    <row r="28" spans="1:27" x14ac:dyDescent="0.2">
      <c r="A28">
        <f t="shared" si="0"/>
        <v>27</v>
      </c>
      <c r="B28" s="5">
        <f t="shared" ca="1" si="5"/>
        <v>27</v>
      </c>
      <c r="C28" s="6">
        <f t="shared" ca="1" si="7"/>
        <v>14679285.771134481</v>
      </c>
      <c r="D28" s="20">
        <f t="shared" ca="1" si="6"/>
        <v>6.4607890000258905E-3</v>
      </c>
      <c r="E28" s="19">
        <f t="shared" ca="1" si="1"/>
        <v>5.4000000000000048E-2</v>
      </c>
      <c r="F28" s="9">
        <f t="shared" ca="1" si="2"/>
        <v>440389.10331102111</v>
      </c>
      <c r="G28" s="6">
        <f t="shared" ca="1" si="3"/>
        <v>440378.57313403441</v>
      </c>
      <c r="H28" s="6">
        <f t="shared" ca="1" si="4"/>
        <v>396340.71582063095</v>
      </c>
      <c r="I28" s="9">
        <f t="shared" ca="1" si="8"/>
        <v>10.530176986707374</v>
      </c>
      <c r="J28" s="6">
        <f t="shared" ca="1" si="9"/>
        <v>792680.86301170546</v>
      </c>
      <c r="K28" s="9">
        <f t="shared" ca="1" si="10"/>
        <v>792691.39318869216</v>
      </c>
      <c r="L28" s="6">
        <f t="shared" ca="1" si="11"/>
        <v>1189032.1090093232</v>
      </c>
      <c r="N28" s="9"/>
      <c r="O28" s="9"/>
      <c r="P28" s="9"/>
    </row>
    <row r="29" spans="1:27" x14ac:dyDescent="0.2">
      <c r="A29">
        <f t="shared" si="0"/>
        <v>28</v>
      </c>
      <c r="B29" s="5">
        <f t="shared" ca="1" si="5"/>
        <v>28</v>
      </c>
      <c r="C29" s="6">
        <f t="shared" ca="1" si="7"/>
        <v>13886594.377945788</v>
      </c>
      <c r="D29" s="20">
        <f t="shared" ca="1" si="6"/>
        <v>6.6993409868830733E-3</v>
      </c>
      <c r="E29" s="19">
        <f t="shared" ca="1" si="1"/>
        <v>5.600000000000005E-2</v>
      </c>
      <c r="F29" s="9">
        <f t="shared" ca="1" si="2"/>
        <v>416607.79287865711</v>
      </c>
      <c r="G29" s="6">
        <f t="shared" ca="1" si="3"/>
        <v>416597.83133837365</v>
      </c>
      <c r="H29" s="6">
        <f t="shared" ca="1" si="4"/>
        <v>374938.04820453626</v>
      </c>
      <c r="I29" s="9">
        <f t="shared" ca="1" si="8"/>
        <v>9.9615402834606357</v>
      </c>
      <c r="J29" s="6">
        <f t="shared" ca="1" si="9"/>
        <v>777648.7273187089</v>
      </c>
      <c r="K29" s="9">
        <f t="shared" ca="1" si="10"/>
        <v>777658.68885899242</v>
      </c>
      <c r="L29" s="6">
        <f t="shared" ca="1" si="11"/>
        <v>1152596.7370635287</v>
      </c>
      <c r="N29" s="9"/>
      <c r="O29" s="9"/>
      <c r="P29" s="9"/>
    </row>
    <row r="30" spans="1:27" x14ac:dyDescent="0.2">
      <c r="A30">
        <f t="shared" si="0"/>
        <v>29</v>
      </c>
      <c r="B30" s="5">
        <f t="shared" ca="1" si="5"/>
        <v>29</v>
      </c>
      <c r="C30" s="6">
        <f t="shared" ca="1" si="7"/>
        <v>13108935.689086795</v>
      </c>
      <c r="D30" s="20">
        <f t="shared" ca="1" si="6"/>
        <v>6.9378404686757378E-3</v>
      </c>
      <c r="E30" s="19">
        <f t="shared" ca="1" si="1"/>
        <v>5.8000000000000052E-2</v>
      </c>
      <c r="F30" s="9">
        <f t="shared" ca="1" si="2"/>
        <v>393277.47435988567</v>
      </c>
      <c r="G30" s="6">
        <f t="shared" ca="1" si="3"/>
        <v>393268.07067260385</v>
      </c>
      <c r="H30" s="6">
        <f t="shared" ca="1" si="4"/>
        <v>353941.26360534347</v>
      </c>
      <c r="I30" s="9">
        <f t="shared" ca="1" si="8"/>
        <v>9.403687281825114</v>
      </c>
      <c r="J30" s="6">
        <f t="shared" ca="1" si="9"/>
        <v>760317.72455317248</v>
      </c>
      <c r="K30" s="9">
        <f t="shared" ca="1" si="10"/>
        <v>760327.12824045424</v>
      </c>
      <c r="L30" s="6">
        <f t="shared" ca="1" si="11"/>
        <v>1114268.3918457977</v>
      </c>
      <c r="N30" s="9"/>
      <c r="O30" s="9"/>
      <c r="P30" s="9"/>
    </row>
    <row r="31" spans="1:27" x14ac:dyDescent="0.2">
      <c r="A31">
        <f t="shared" si="0"/>
        <v>30</v>
      </c>
      <c r="B31" s="5">
        <f t="shared" ca="1" si="5"/>
        <v>30</v>
      </c>
      <c r="C31" s="6">
        <f t="shared" ca="1" si="7"/>
        <v>12348608.56084634</v>
      </c>
      <c r="D31" s="20">
        <f t="shared" ca="1" si="6"/>
        <v>7.1762874559099243E-3</v>
      </c>
      <c r="E31" s="19">
        <f t="shared" ca="1" si="1"/>
        <v>6.0000000000000053E-2</v>
      </c>
      <c r="F31" s="9">
        <f t="shared" ca="1" si="2"/>
        <v>370467.11509245523</v>
      </c>
      <c r="G31" s="6">
        <f t="shared" ca="1" si="3"/>
        <v>370458.25682539016</v>
      </c>
      <c r="H31" s="6">
        <f t="shared" ca="1" si="4"/>
        <v>333412.43114285119</v>
      </c>
      <c r="I31" s="9">
        <f t="shared" ca="1" si="8"/>
        <v>8.8582670650794171</v>
      </c>
      <c r="J31" s="6">
        <f t="shared" ca="1" si="9"/>
        <v>740915.98215475713</v>
      </c>
      <c r="K31" s="9">
        <f t="shared" ca="1" si="10"/>
        <v>740924.84042182215</v>
      </c>
      <c r="L31" s="6">
        <f t="shared" ca="1" si="11"/>
        <v>1074337.2715646734</v>
      </c>
      <c r="N31" s="9"/>
      <c r="O31" s="9"/>
      <c r="P31" s="9"/>
    </row>
    <row r="32" spans="1:27" x14ac:dyDescent="0.2">
      <c r="A32">
        <f t="shared" si="0"/>
        <v>31</v>
      </c>
      <c r="B32" s="5">
        <f t="shared" ca="1" si="5"/>
        <v>31</v>
      </c>
      <c r="C32" s="6">
        <f t="shared" ca="1" si="7"/>
        <v>11607683.720424518</v>
      </c>
      <c r="D32" s="20">
        <f t="shared" ca="1" si="6"/>
        <v>7.1762874559099243E-3</v>
      </c>
      <c r="E32" s="19">
        <f ca="1">IFERROR(E31,0)</f>
        <v>6.0000000000000053E-2</v>
      </c>
      <c r="F32" s="9">
        <f t="shared" ca="1" si="2"/>
        <v>348238.83837780351</v>
      </c>
      <c r="G32" s="6">
        <f t="shared" ca="1" si="3"/>
        <v>348230.51161273551</v>
      </c>
      <c r="H32" s="6">
        <f t="shared" ca="1" si="4"/>
        <v>313407.46045146196</v>
      </c>
      <c r="I32" s="9">
        <f t="shared" ca="1" si="8"/>
        <v>8.3267650679918006</v>
      </c>
      <c r="J32" s="6">
        <f t="shared" ca="1" si="9"/>
        <v>696460.52361956763</v>
      </c>
      <c r="K32" s="9">
        <f t="shared" ca="1" si="10"/>
        <v>696468.85038463562</v>
      </c>
      <c r="L32" s="6">
        <f t="shared" ca="1" si="11"/>
        <v>1009876.3108360976</v>
      </c>
      <c r="N32" s="9"/>
      <c r="O32" s="9"/>
      <c r="P32" s="9"/>
    </row>
    <row r="33" spans="1:16" x14ac:dyDescent="0.2">
      <c r="A33">
        <f t="shared" si="0"/>
        <v>32</v>
      </c>
      <c r="B33" s="5">
        <f t="shared" ca="1" si="5"/>
        <v>32</v>
      </c>
      <c r="C33" s="6">
        <f t="shared" ca="1" si="7"/>
        <v>10911214.870039882</v>
      </c>
      <c r="D33" s="20">
        <f t="shared" ca="1" si="6"/>
        <v>7.1762874559099243E-3</v>
      </c>
      <c r="E33" s="19">
        <f t="shared" ref="E33:E96" ca="1" si="12">IFERROR(E32,0)</f>
        <v>6.0000000000000053E-2</v>
      </c>
      <c r="F33" s="9">
        <f t="shared" ca="1" si="2"/>
        <v>327344.27325474558</v>
      </c>
      <c r="G33" s="6">
        <f t="shared" ca="1" si="3"/>
        <v>327336.44610119646</v>
      </c>
      <c r="H33" s="6">
        <f t="shared" ca="1" si="4"/>
        <v>294602.80149107683</v>
      </c>
      <c r="I33" s="9">
        <f t="shared" ca="1" si="8"/>
        <v>7.8271535491221584</v>
      </c>
      <c r="J33" s="6">
        <f t="shared" ca="1" si="9"/>
        <v>654672.42257318064</v>
      </c>
      <c r="K33" s="9">
        <f t="shared" ca="1" si="10"/>
        <v>654680.2497267297</v>
      </c>
      <c r="L33" s="6">
        <f t="shared" ca="1" si="11"/>
        <v>949283.05121780653</v>
      </c>
      <c r="N33" s="9"/>
      <c r="O33" s="9"/>
      <c r="P33" s="9"/>
    </row>
    <row r="34" spans="1:16" x14ac:dyDescent="0.2">
      <c r="A34">
        <f t="shared" si="0"/>
        <v>33</v>
      </c>
      <c r="B34" s="5">
        <f t="shared" ca="1" si="5"/>
        <v>33</v>
      </c>
      <c r="C34" s="6">
        <f t="shared" ca="1" si="7"/>
        <v>10256534.620313153</v>
      </c>
      <c r="D34" s="20">
        <f t="shared" ca="1" si="6"/>
        <v>7.1762874559099243E-3</v>
      </c>
      <c r="E34" s="19">
        <f t="shared" ca="1" si="12"/>
        <v>6.0000000000000053E-2</v>
      </c>
      <c r="F34" s="9">
        <f t="shared" ca="1" si="2"/>
        <v>307703.39612845279</v>
      </c>
      <c r="G34" s="6">
        <f t="shared" ca="1" si="3"/>
        <v>307696.03860939457</v>
      </c>
      <c r="H34" s="6">
        <f t="shared" ca="1" si="4"/>
        <v>276926.43474845513</v>
      </c>
      <c r="I34" s="9">
        <f t="shared" ca="1" si="8"/>
        <v>7.3575190582196228</v>
      </c>
      <c r="J34" s="6">
        <f t="shared" ca="1" si="9"/>
        <v>615391.63576764625</v>
      </c>
      <c r="K34" s="9">
        <f t="shared" ca="1" si="10"/>
        <v>615398.99328670441</v>
      </c>
      <c r="L34" s="6">
        <f t="shared" ca="1" si="11"/>
        <v>892325.4280351596</v>
      </c>
      <c r="N34" s="9"/>
      <c r="O34" s="9"/>
      <c r="P34" s="9"/>
    </row>
    <row r="35" spans="1:16" x14ac:dyDescent="0.2">
      <c r="A35">
        <f t="shared" si="0"/>
        <v>34</v>
      </c>
      <c r="B35" s="5">
        <f t="shared" ca="1" si="5"/>
        <v>34</v>
      </c>
      <c r="C35" s="6">
        <f t="shared" ca="1" si="7"/>
        <v>9641135.627026448</v>
      </c>
      <c r="D35" s="20">
        <f t="shared" ca="1" si="6"/>
        <v>7.1762874559099243E-3</v>
      </c>
      <c r="E35" s="19">
        <f t="shared" ca="1" si="12"/>
        <v>6.0000000000000053E-2</v>
      </c>
      <c r="F35" s="9">
        <f t="shared" ca="1" si="2"/>
        <v>289240.98487374693</v>
      </c>
      <c r="G35" s="6">
        <f t="shared" ca="1" si="3"/>
        <v>289234.06881079345</v>
      </c>
      <c r="H35" s="6">
        <f t="shared" ca="1" si="4"/>
        <v>260310.66192971409</v>
      </c>
      <c r="I35" s="9">
        <f t="shared" ca="1" si="8"/>
        <v>6.9160629534744658</v>
      </c>
      <c r="J35" s="6">
        <f t="shared" ca="1" si="9"/>
        <v>578467.7226578102</v>
      </c>
      <c r="K35" s="9">
        <f t="shared" ca="1" si="10"/>
        <v>578474.63872076361</v>
      </c>
      <c r="L35" s="6">
        <f t="shared" ca="1" si="11"/>
        <v>838785.30065047764</v>
      </c>
      <c r="N35" s="9"/>
      <c r="O35" s="9"/>
      <c r="P35" s="9"/>
    </row>
    <row r="36" spans="1:16" x14ac:dyDescent="0.2">
      <c r="A36">
        <f t="shared" si="0"/>
        <v>35</v>
      </c>
      <c r="B36" s="5">
        <f t="shared" ca="1" si="5"/>
        <v>35</v>
      </c>
      <c r="C36" s="6">
        <f t="shared" ca="1" si="7"/>
        <v>9062660.9883056842</v>
      </c>
      <c r="D36" s="20">
        <f t="shared" ca="1" si="6"/>
        <v>7.1762874559099243E-3</v>
      </c>
      <c r="E36" s="19">
        <f t="shared" ca="1" si="12"/>
        <v>6.0000000000000053E-2</v>
      </c>
      <c r="F36" s="9">
        <f t="shared" ca="1" si="2"/>
        <v>271886.33074368321</v>
      </c>
      <c r="G36" s="6">
        <f t="shared" ca="1" si="3"/>
        <v>271879.82964917051</v>
      </c>
      <c r="H36" s="6">
        <f t="shared" ca="1" si="4"/>
        <v>244691.84668425348</v>
      </c>
      <c r="I36" s="9">
        <f t="shared" ca="1" si="8"/>
        <v>6.5010945126996376</v>
      </c>
      <c r="J36" s="6">
        <f t="shared" ca="1" si="9"/>
        <v>543759.26923267078</v>
      </c>
      <c r="K36" s="9">
        <f t="shared" ca="1" si="10"/>
        <v>543765.77032718342</v>
      </c>
      <c r="L36" s="6">
        <f t="shared" ca="1" si="11"/>
        <v>788457.61701143696</v>
      </c>
      <c r="N36" s="9"/>
      <c r="O36" s="9"/>
      <c r="P36" s="9"/>
    </row>
    <row r="37" spans="1:16" x14ac:dyDescent="0.2">
      <c r="A37">
        <f t="shared" si="0"/>
        <v>36</v>
      </c>
      <c r="B37" s="5">
        <f t="shared" ca="1" si="5"/>
        <v>36</v>
      </c>
      <c r="C37" s="6">
        <f t="shared" ca="1" si="7"/>
        <v>8518895.2179784998</v>
      </c>
      <c r="D37" s="20">
        <f t="shared" ca="1" si="6"/>
        <v>7.1762874559099243E-3</v>
      </c>
      <c r="E37" s="19">
        <f t="shared" ca="1" si="12"/>
        <v>6.0000000000000053E-2</v>
      </c>
      <c r="F37" s="9">
        <f t="shared" ca="1" si="2"/>
        <v>255572.9675638132</v>
      </c>
      <c r="G37" s="6">
        <f t="shared" ca="1" si="3"/>
        <v>255566.85653935498</v>
      </c>
      <c r="H37" s="6">
        <f t="shared" ca="1" si="4"/>
        <v>230010.1708854195</v>
      </c>
      <c r="I37" s="9">
        <f t="shared" ca="1" si="8"/>
        <v>6.1110244582232554</v>
      </c>
      <c r="J37" s="6">
        <f t="shared" ca="1" si="9"/>
        <v>511133.34641724295</v>
      </c>
      <c r="K37" s="9">
        <f t="shared" ca="1" si="10"/>
        <v>511139.4574417012</v>
      </c>
      <c r="L37" s="6">
        <f t="shared" ca="1" si="11"/>
        <v>741149.62832712068</v>
      </c>
      <c r="N37" s="9"/>
      <c r="O37" s="9"/>
      <c r="P37" s="9"/>
    </row>
    <row r="38" spans="1:16" x14ac:dyDescent="0.2">
      <c r="A38">
        <f t="shared" si="0"/>
        <v>37</v>
      </c>
      <c r="B38" s="5">
        <f t="shared" ca="1" si="5"/>
        <v>37</v>
      </c>
      <c r="C38" s="6">
        <f t="shared" ca="1" si="7"/>
        <v>8007755.7605367983</v>
      </c>
      <c r="D38" s="20">
        <f t="shared" ca="1" si="6"/>
        <v>7.1762874559099243E-3</v>
      </c>
      <c r="E38" s="19">
        <f t="shared" ca="1" si="12"/>
        <v>6.0000000000000053E-2</v>
      </c>
      <c r="F38" s="9">
        <f t="shared" ca="1" si="2"/>
        <v>240238.41717497396</v>
      </c>
      <c r="G38" s="6">
        <f t="shared" ca="1" si="3"/>
        <v>240232.67281610394</v>
      </c>
      <c r="H38" s="6">
        <f t="shared" ca="1" si="4"/>
        <v>216209.40553449356</v>
      </c>
      <c r="I38" s="9">
        <f t="shared" ca="1" si="8"/>
        <v>5.7443588700261898</v>
      </c>
      <c r="J38" s="6">
        <f t="shared" ca="1" si="9"/>
        <v>480465.00097067613</v>
      </c>
      <c r="K38" s="9">
        <f t="shared" ca="1" si="10"/>
        <v>480470.74532954616</v>
      </c>
      <c r="L38" s="6">
        <f t="shared" ca="1" si="11"/>
        <v>696680.15086403978</v>
      </c>
      <c r="N38" s="9"/>
      <c r="O38" s="9"/>
      <c r="P38" s="9"/>
    </row>
    <row r="39" spans="1:16" x14ac:dyDescent="0.2">
      <c r="A39">
        <f t="shared" si="0"/>
        <v>38</v>
      </c>
      <c r="B39" s="5">
        <f t="shared" ca="1" si="5"/>
        <v>38</v>
      </c>
      <c r="C39" s="6">
        <f t="shared" ca="1" si="7"/>
        <v>7527285.0152072525</v>
      </c>
      <c r="D39" s="20">
        <f t="shared" ca="1" si="6"/>
        <v>7.1762874559099243E-3</v>
      </c>
      <c r="E39" s="19">
        <f t="shared" ca="1" si="12"/>
        <v>6.0000000000000053E-2</v>
      </c>
      <c r="F39" s="9">
        <f t="shared" ca="1" si="2"/>
        <v>225823.95014968188</v>
      </c>
      <c r="G39" s="6">
        <f t="shared" ca="1" si="3"/>
        <v>225818.55045621758</v>
      </c>
      <c r="H39" s="6">
        <f t="shared" ca="1" si="4"/>
        <v>203236.69541059583</v>
      </c>
      <c r="I39" s="9">
        <f t="shared" ca="1" si="8"/>
        <v>5.3996934643073473</v>
      </c>
      <c r="J39" s="6">
        <f t="shared" ca="1" si="9"/>
        <v>451636.77693082771</v>
      </c>
      <c r="K39" s="9">
        <f t="shared" ca="1" si="10"/>
        <v>451642.17662429204</v>
      </c>
      <c r="L39" s="6">
        <f t="shared" ca="1" si="11"/>
        <v>654878.8720348879</v>
      </c>
      <c r="N39" s="9"/>
      <c r="O39" s="9"/>
      <c r="P39" s="9"/>
    </row>
    <row r="40" spans="1:16" x14ac:dyDescent="0.2">
      <c r="A40">
        <f t="shared" si="0"/>
        <v>39</v>
      </c>
      <c r="B40" s="5">
        <f t="shared" ca="1" si="5"/>
        <v>39</v>
      </c>
      <c r="C40" s="6">
        <f t="shared" ca="1" si="7"/>
        <v>7075642.8385829609</v>
      </c>
      <c r="D40" s="20">
        <f t="shared" ca="1" si="6"/>
        <v>7.1762874559099243E-3</v>
      </c>
      <c r="E40" s="19">
        <f t="shared" ca="1" si="12"/>
        <v>6.0000000000000053E-2</v>
      </c>
      <c r="F40" s="9">
        <f t="shared" ca="1" si="2"/>
        <v>212274.36086570425</v>
      </c>
      <c r="G40" s="6">
        <f t="shared" ca="1" si="3"/>
        <v>212269.2851574888</v>
      </c>
      <c r="H40" s="6">
        <f t="shared" ca="1" si="4"/>
        <v>191042.35664173996</v>
      </c>
      <c r="I40" s="9">
        <f t="shared" ca="1" si="8"/>
        <v>5.0757082154450472</v>
      </c>
      <c r="J40" s="6">
        <f t="shared" ca="1" si="9"/>
        <v>424538.26577248512</v>
      </c>
      <c r="K40" s="9">
        <f t="shared" ca="1" si="10"/>
        <v>424543.34148070053</v>
      </c>
      <c r="L40" s="6">
        <f t="shared" ca="1" si="11"/>
        <v>615585.69812244049</v>
      </c>
      <c r="N40" s="9"/>
      <c r="O40" s="9"/>
      <c r="P40" s="9"/>
    </row>
    <row r="41" spans="1:16" x14ac:dyDescent="0.2">
      <c r="A41">
        <f t="shared" si="0"/>
        <v>40</v>
      </c>
      <c r="B41" s="5">
        <f t="shared" ca="1" si="5"/>
        <v>40</v>
      </c>
      <c r="C41" s="6">
        <f t="shared" ca="1" si="7"/>
        <v>6651099.4971022606</v>
      </c>
      <c r="D41" s="20">
        <f t="shared" ca="1" si="6"/>
        <v>7.1762874559099243E-3</v>
      </c>
      <c r="E41" s="19">
        <f t="shared" ca="1" si="12"/>
        <v>6.0000000000000053E-2</v>
      </c>
      <c r="F41" s="9">
        <f t="shared" ca="1" si="2"/>
        <v>199537.75607536771</v>
      </c>
      <c r="G41" s="6">
        <f t="shared" ca="1" si="3"/>
        <v>199532.9849130678</v>
      </c>
      <c r="H41" s="6">
        <f t="shared" ca="1" si="4"/>
        <v>179579.68642176103</v>
      </c>
      <c r="I41" s="9">
        <f t="shared" ca="1" si="8"/>
        <v>4.7711622999049723</v>
      </c>
      <c r="J41" s="6">
        <f t="shared" ca="1" si="9"/>
        <v>399065.68355639803</v>
      </c>
      <c r="K41" s="9">
        <f t="shared" ca="1" si="10"/>
        <v>399070.45471869793</v>
      </c>
      <c r="L41" s="6">
        <f t="shared" ca="1" si="11"/>
        <v>578650.14114045899</v>
      </c>
      <c r="N41" s="9"/>
      <c r="O41" s="9"/>
      <c r="P41" s="9"/>
    </row>
    <row r="42" spans="1:16" x14ac:dyDescent="0.2">
      <c r="A42">
        <f t="shared" si="0"/>
        <v>41</v>
      </c>
      <c r="B42" s="5">
        <f t="shared" ca="1" si="5"/>
        <v>41</v>
      </c>
      <c r="C42" s="6">
        <f t="shared" ca="1" si="7"/>
        <v>6252029.0423835628</v>
      </c>
      <c r="D42" s="20">
        <f t="shared" ca="1" si="6"/>
        <v>7.1762874559099243E-3</v>
      </c>
      <c r="E42" s="19">
        <f t="shared" ca="1" si="12"/>
        <v>6.0000000000000053E-2</v>
      </c>
      <c r="F42" s="9">
        <f t="shared" ca="1" si="2"/>
        <v>187565.35616085154</v>
      </c>
      <c r="G42" s="6">
        <f t="shared" ca="1" si="3"/>
        <v>187560.87127150688</v>
      </c>
      <c r="H42" s="6">
        <f t="shared" ca="1" si="4"/>
        <v>168804.78414435621</v>
      </c>
      <c r="I42" s="9">
        <f t="shared" ca="1" si="8"/>
        <v>4.4848893446614966</v>
      </c>
      <c r="J42" s="6">
        <f t="shared" ca="1" si="9"/>
        <v>375121.47344965342</v>
      </c>
      <c r="K42" s="9">
        <f t="shared" ca="1" si="10"/>
        <v>375125.95833899808</v>
      </c>
      <c r="L42" s="6">
        <f t="shared" ca="1" si="11"/>
        <v>543930.74248335429</v>
      </c>
      <c r="N42" s="9"/>
      <c r="O42" s="9"/>
      <c r="P42" s="9"/>
    </row>
    <row r="43" spans="1:16" x14ac:dyDescent="0.2">
      <c r="A43">
        <f t="shared" si="0"/>
        <v>42</v>
      </c>
      <c r="B43" s="5">
        <f t="shared" ca="1" si="5"/>
        <v>42</v>
      </c>
      <c r="C43" s="6">
        <f t="shared" ca="1" si="7"/>
        <v>5876903.0840445645</v>
      </c>
      <c r="D43" s="20">
        <f t="shared" ca="1" si="6"/>
        <v>7.1762874559099243E-3</v>
      </c>
      <c r="E43" s="19">
        <f t="shared" ca="1" si="12"/>
        <v>6.0000000000000053E-2</v>
      </c>
      <c r="F43" s="9">
        <f t="shared" ca="1" si="2"/>
        <v>176311.30831429671</v>
      </c>
      <c r="G43" s="6">
        <f t="shared" ca="1" si="3"/>
        <v>176307.09252133692</v>
      </c>
      <c r="H43" s="6">
        <f t="shared" ca="1" si="4"/>
        <v>158676.38326920324</v>
      </c>
      <c r="I43" s="9">
        <f t="shared" ca="1" si="8"/>
        <v>4.2157929597888142</v>
      </c>
      <c r="J43" s="6">
        <f t="shared" ca="1" si="9"/>
        <v>352613.93209509662</v>
      </c>
      <c r="K43" s="9">
        <f t="shared" ca="1" si="10"/>
        <v>352618.14788805641</v>
      </c>
      <c r="L43" s="6">
        <f t="shared" ca="1" si="11"/>
        <v>511294.53115725965</v>
      </c>
      <c r="N43" s="9"/>
      <c r="O43" s="9"/>
      <c r="P43" s="9"/>
    </row>
    <row r="44" spans="1:16" x14ac:dyDescent="0.2">
      <c r="A44">
        <f t="shared" si="0"/>
        <v>43</v>
      </c>
      <c r="B44" s="5">
        <f t="shared" ca="1" si="5"/>
        <v>43</v>
      </c>
      <c r="C44" s="6">
        <f t="shared" ca="1" si="7"/>
        <v>5524284.9361565085</v>
      </c>
      <c r="D44" s="20">
        <f t="shared" ca="1" si="6"/>
        <v>7.1762874559099243E-3</v>
      </c>
      <c r="E44" s="19">
        <f t="shared" ca="1" si="12"/>
        <v>6.0000000000000053E-2</v>
      </c>
      <c r="F44" s="9">
        <f t="shared" ca="1" si="2"/>
        <v>165732.51092723472</v>
      </c>
      <c r="G44" s="6">
        <f t="shared" ca="1" si="3"/>
        <v>165728.54808469524</v>
      </c>
      <c r="H44" s="6">
        <f t="shared" ca="1" si="4"/>
        <v>149155.69327622573</v>
      </c>
      <c r="I44" s="9">
        <f t="shared" ca="1" si="8"/>
        <v>3.9628425394766964</v>
      </c>
      <c r="J44" s="6">
        <f t="shared" ca="1" si="9"/>
        <v>331456.85839883843</v>
      </c>
      <c r="K44" s="9">
        <f t="shared" ca="1" si="10"/>
        <v>331460.82124137791</v>
      </c>
      <c r="L44" s="6">
        <f t="shared" ca="1" si="11"/>
        <v>480616.51451760367</v>
      </c>
      <c r="N44" s="9"/>
      <c r="O44" s="9"/>
      <c r="P44" s="9"/>
    </row>
    <row r="45" spans="1:16" x14ac:dyDescent="0.2">
      <c r="A45">
        <f t="shared" si="0"/>
        <v>44</v>
      </c>
      <c r="B45" s="5">
        <f t="shared" ca="1" si="5"/>
        <v>44</v>
      </c>
      <c r="C45" s="6">
        <f t="shared" ca="1" si="7"/>
        <v>5192824.1149151307</v>
      </c>
      <c r="D45" s="20">
        <f t="shared" ca="1" si="6"/>
        <v>7.1762874559099243E-3</v>
      </c>
      <c r="E45" s="19">
        <f t="shared" ca="1" si="12"/>
        <v>6.0000000000000053E-2</v>
      </c>
      <c r="F45" s="9">
        <f t="shared" ca="1" si="2"/>
        <v>155788.44851676884</v>
      </c>
      <c r="G45" s="6">
        <f t="shared" ca="1" si="3"/>
        <v>155784.7234474539</v>
      </c>
      <c r="H45" s="6">
        <f t="shared" ca="1" si="4"/>
        <v>140206.25110270851</v>
      </c>
      <c r="I45" s="9">
        <f t="shared" ca="1" si="8"/>
        <v>3.7250693149399012</v>
      </c>
      <c r="J45" s="6">
        <f t="shared" ca="1" si="9"/>
        <v>311569.22339074919</v>
      </c>
      <c r="K45" s="9">
        <f t="shared" ca="1" si="10"/>
        <v>311572.94846006413</v>
      </c>
      <c r="L45" s="6">
        <f t="shared" ca="1" si="11"/>
        <v>451779.19956277264</v>
      </c>
      <c r="N45" s="9"/>
      <c r="O45" s="9"/>
      <c r="P45" s="9"/>
    </row>
    <row r="46" spans="1:16" x14ac:dyDescent="0.2">
      <c r="A46">
        <f t="shared" si="0"/>
        <v>45</v>
      </c>
      <c r="B46" s="5">
        <f t="shared" ca="1" si="5"/>
        <v>45</v>
      </c>
      <c r="C46" s="6">
        <f t="shared" ca="1" si="7"/>
        <v>4881251.1664550668</v>
      </c>
      <c r="D46" s="20">
        <f t="shared" ca="1" si="6"/>
        <v>7.1762874559099243E-3</v>
      </c>
      <c r="E46" s="19">
        <f t="shared" ca="1" si="12"/>
        <v>6.0000000000000053E-2</v>
      </c>
      <c r="F46" s="9">
        <f t="shared" ca="1" si="2"/>
        <v>146441.03655629617</v>
      </c>
      <c r="G46" s="6">
        <f t="shared" ca="1" si="3"/>
        <v>146437.53499365199</v>
      </c>
      <c r="H46" s="6">
        <f t="shared" ca="1" si="4"/>
        <v>131793.78149428681</v>
      </c>
      <c r="I46" s="9">
        <f t="shared" ca="1" si="8"/>
        <v>3.5015626441745553</v>
      </c>
      <c r="J46" s="6">
        <f t="shared" ca="1" si="9"/>
        <v>292874.85989354562</v>
      </c>
      <c r="K46" s="9">
        <f t="shared" ca="1" si="10"/>
        <v>292878.36145618977</v>
      </c>
      <c r="L46" s="6">
        <f t="shared" ca="1" si="11"/>
        <v>424672.14295047661</v>
      </c>
      <c r="N46" s="9"/>
      <c r="O46" s="9"/>
      <c r="P46" s="9"/>
    </row>
    <row r="47" spans="1:16" x14ac:dyDescent="0.2">
      <c r="A47">
        <f t="shared" si="0"/>
        <v>46</v>
      </c>
      <c r="B47" s="5">
        <f t="shared" ca="1" si="5"/>
        <v>46</v>
      </c>
      <c r="C47" s="6">
        <f t="shared" ca="1" si="7"/>
        <v>4588372.8049988765</v>
      </c>
      <c r="D47" s="20">
        <f t="shared" ca="1" si="6"/>
        <v>7.1762874559099243E-3</v>
      </c>
      <c r="E47" s="19">
        <f t="shared" ca="1" si="12"/>
        <v>6.0000000000000053E-2</v>
      </c>
      <c r="F47" s="9">
        <f t="shared" ca="1" si="2"/>
        <v>137654.47561649067</v>
      </c>
      <c r="G47" s="6">
        <f t="shared" ca="1" si="3"/>
        <v>137651.18414996628</v>
      </c>
      <c r="H47" s="6">
        <f t="shared" ca="1" si="4"/>
        <v>123886.06573496967</v>
      </c>
      <c r="I47" s="9">
        <f t="shared" ca="1" si="8"/>
        <v>3.2914665243879426</v>
      </c>
      <c r="J47" s="6">
        <f t="shared" ca="1" si="9"/>
        <v>275302.17081194132</v>
      </c>
      <c r="K47" s="9">
        <f t="shared" ca="1" si="10"/>
        <v>275305.46227846574</v>
      </c>
      <c r="L47" s="6">
        <f t="shared" ca="1" si="11"/>
        <v>399191.52801343543</v>
      </c>
      <c r="N47" s="9"/>
      <c r="O47" s="9"/>
      <c r="P47" s="9"/>
    </row>
    <row r="48" spans="1:16" x14ac:dyDescent="0.2">
      <c r="A48">
        <f t="shared" si="0"/>
        <v>47</v>
      </c>
      <c r="B48" s="5">
        <f t="shared" ca="1" si="5"/>
        <v>47</v>
      </c>
      <c r="C48" s="6">
        <f t="shared" ca="1" si="7"/>
        <v>4313067.3427204108</v>
      </c>
      <c r="D48" s="20">
        <f t="shared" ca="1" si="6"/>
        <v>7.1762874559099243E-3</v>
      </c>
      <c r="E48" s="19">
        <f t="shared" ca="1" si="12"/>
        <v>6.0000000000000053E-2</v>
      </c>
      <c r="F48" s="9">
        <f t="shared" ca="1" si="2"/>
        <v>129395.11425792577</v>
      </c>
      <c r="G48" s="6">
        <f t="shared" ca="1" si="3"/>
        <v>129392.02028161232</v>
      </c>
      <c r="H48" s="6">
        <f t="shared" ca="1" si="4"/>
        <v>116452.81825345109</v>
      </c>
      <c r="I48" s="9">
        <f t="shared" ca="1" si="8"/>
        <v>3.0939763134520035</v>
      </c>
      <c r="J48" s="6">
        <f t="shared" ca="1" si="9"/>
        <v>258783.85492464609</v>
      </c>
      <c r="K48" s="9">
        <f t="shared" ca="1" si="10"/>
        <v>258786.94890095954</v>
      </c>
      <c r="L48" s="6">
        <f t="shared" ca="1" si="11"/>
        <v>375239.7671544106</v>
      </c>
      <c r="N48" s="9"/>
      <c r="O48" s="9"/>
      <c r="P48" s="9"/>
    </row>
    <row r="49" spans="1:16" x14ac:dyDescent="0.2">
      <c r="A49">
        <f t="shared" si="0"/>
        <v>48</v>
      </c>
      <c r="B49" s="5">
        <f t="shared" ca="1" si="5"/>
        <v>48</v>
      </c>
      <c r="C49" s="6">
        <f t="shared" ca="1" si="7"/>
        <v>4054280.3938194513</v>
      </c>
      <c r="D49" s="20">
        <f t="shared" ca="1" si="6"/>
        <v>7.1762874559099243E-3</v>
      </c>
      <c r="E49" s="19">
        <f t="shared" ca="1" si="12"/>
        <v>6.0000000000000053E-2</v>
      </c>
      <c r="F49" s="9">
        <f t="shared" ca="1" si="2"/>
        <v>121631.3201502319</v>
      </c>
      <c r="G49" s="6">
        <f t="shared" ca="1" si="3"/>
        <v>121628.41181458354</v>
      </c>
      <c r="H49" s="6">
        <f t="shared" ca="1" si="4"/>
        <v>109465.57063312519</v>
      </c>
      <c r="I49" s="9">
        <f t="shared" ca="1" si="8"/>
        <v>2.9083356483606622</v>
      </c>
      <c r="J49" s="6">
        <f t="shared" ca="1" si="9"/>
        <v>243256.64912902837</v>
      </c>
      <c r="K49" s="9">
        <f t="shared" ca="1" si="10"/>
        <v>243259.55746467673</v>
      </c>
      <c r="L49" s="6">
        <f t="shared" ca="1" si="11"/>
        <v>352725.12809780193</v>
      </c>
      <c r="N49" s="9"/>
      <c r="O49" s="9"/>
      <c r="P49" s="9"/>
    </row>
    <row r="50" spans="1:16" x14ac:dyDescent="0.2">
      <c r="A50">
        <f t="shared" si="0"/>
        <v>49</v>
      </c>
      <c r="B50" s="5">
        <f t="shared" ca="1" si="5"/>
        <v>49</v>
      </c>
      <c r="C50" s="6">
        <f t="shared" ca="1" si="7"/>
        <v>3811020.8363547744</v>
      </c>
      <c r="D50" s="20">
        <f t="shared" ca="1" si="6"/>
        <v>7.1762874559099243E-3</v>
      </c>
      <c r="E50" s="19">
        <f t="shared" ca="1" si="12"/>
        <v>6.0000000000000053E-2</v>
      </c>
      <c r="F50" s="9">
        <f t="shared" ca="1" si="2"/>
        <v>114333.35892419156</v>
      </c>
      <c r="G50" s="6">
        <f t="shared" ca="1" si="3"/>
        <v>114330.62509064323</v>
      </c>
      <c r="H50" s="6">
        <f t="shared" ca="1" si="4"/>
        <v>102897.56258157891</v>
      </c>
      <c r="I50" s="9">
        <f t="shared" ca="1" si="8"/>
        <v>2.7338335483364062</v>
      </c>
      <c r="J50" s="6">
        <f t="shared" ca="1" si="9"/>
        <v>228661.08615127378</v>
      </c>
      <c r="K50" s="9">
        <f t="shared" ca="1" si="10"/>
        <v>228663.81998482213</v>
      </c>
      <c r="L50" s="6">
        <f t="shared" ca="1" si="11"/>
        <v>331561.38256640104</v>
      </c>
      <c r="N50" s="9"/>
      <c r="O50" s="9"/>
      <c r="P50" s="9"/>
    </row>
    <row r="51" spans="1:16" x14ac:dyDescent="0.2">
      <c r="A51">
        <f t="shared" si="0"/>
        <v>50</v>
      </c>
      <c r="B51" s="5">
        <f t="shared" ca="1" si="5"/>
        <v>50</v>
      </c>
      <c r="C51" s="6">
        <f t="shared" ca="1" si="7"/>
        <v>3582357.0163699524</v>
      </c>
      <c r="D51" s="20">
        <f t="shared" ca="1" si="6"/>
        <v>7.1762874559099243E-3</v>
      </c>
      <c r="E51" s="19">
        <f t="shared" ca="1" si="12"/>
        <v>6.0000000000000053E-2</v>
      </c>
      <c r="F51" s="9">
        <f t="shared" ca="1" si="2"/>
        <v>107473.28029279056</v>
      </c>
      <c r="G51" s="6">
        <f t="shared" ca="1" si="3"/>
        <v>107470.71049109857</v>
      </c>
      <c r="H51" s="6">
        <f t="shared" ca="1" si="4"/>
        <v>96723.639441988707</v>
      </c>
      <c r="I51" s="9">
        <f t="shared" ca="1" si="8"/>
        <v>2.5698016919923248</v>
      </c>
      <c r="J51" s="6">
        <f t="shared" ca="1" si="9"/>
        <v>214941.26679409581</v>
      </c>
      <c r="K51" s="9">
        <f t="shared" ca="1" si="10"/>
        <v>214943.83659578778</v>
      </c>
      <c r="L51" s="6">
        <f t="shared" ca="1" si="11"/>
        <v>311667.47603777651</v>
      </c>
      <c r="N51" s="9"/>
      <c r="O51" s="9"/>
      <c r="P51" s="9"/>
    </row>
    <row r="52" spans="1:16" x14ac:dyDescent="0.2">
      <c r="A52">
        <f t="shared" si="0"/>
        <v>51</v>
      </c>
      <c r="B52" s="5">
        <f t="shared" ca="1" si="5"/>
        <v>51</v>
      </c>
      <c r="C52" s="6">
        <f t="shared" ca="1" si="7"/>
        <v>3367413.1797741647</v>
      </c>
      <c r="D52" s="20">
        <f t="shared" ca="1" si="6"/>
        <v>7.1762874559099243E-3</v>
      </c>
      <c r="E52" s="19">
        <f t="shared" ca="1" si="12"/>
        <v>6.0000000000000053E-2</v>
      </c>
      <c r="F52" s="9">
        <f t="shared" ca="1" si="2"/>
        <v>101024.81100508258</v>
      </c>
      <c r="G52" s="6">
        <f t="shared" ca="1" si="3"/>
        <v>101022.39539322494</v>
      </c>
      <c r="H52" s="6">
        <f t="shared" ca="1" si="4"/>
        <v>90920.155853902441</v>
      </c>
      <c r="I52" s="9">
        <f t="shared" ca="1" si="8"/>
        <v>2.4156118576356675</v>
      </c>
      <c r="J52" s="6">
        <f t="shared" ca="1" si="9"/>
        <v>202044.64584973862</v>
      </c>
      <c r="K52" s="9">
        <f t="shared" ca="1" si="10"/>
        <v>202047.06146159625</v>
      </c>
      <c r="L52" s="6">
        <f t="shared" ca="1" si="11"/>
        <v>292967.21731549868</v>
      </c>
      <c r="N52" s="9"/>
      <c r="O52" s="9"/>
      <c r="P52" s="9"/>
    </row>
    <row r="53" spans="1:16" x14ac:dyDescent="0.2">
      <c r="A53">
        <f t="shared" si="0"/>
        <v>52</v>
      </c>
      <c r="B53" s="5">
        <f t="shared" ca="1" si="5"/>
        <v>52</v>
      </c>
      <c r="C53" s="6">
        <f t="shared" ca="1" si="7"/>
        <v>3165366.1183125684</v>
      </c>
      <c r="D53" s="20">
        <f t="shared" ca="1" si="6"/>
        <v>7.1762874559099243E-3</v>
      </c>
      <c r="E53" s="19">
        <f t="shared" ca="1" si="12"/>
        <v>6.0000000000000053E-2</v>
      </c>
      <c r="F53" s="9">
        <f t="shared" ca="1" si="2"/>
        <v>94963.254222894349</v>
      </c>
      <c r="G53" s="6">
        <f t="shared" ca="1" si="3"/>
        <v>94960.983549377052</v>
      </c>
      <c r="H53" s="6">
        <f t="shared" ca="1" si="4"/>
        <v>85464.885194439339</v>
      </c>
      <c r="I53" s="9">
        <f t="shared" ca="1" si="8"/>
        <v>2.270673517297837</v>
      </c>
      <c r="J53" s="6">
        <f t="shared" ca="1" si="9"/>
        <v>189921.83085834325</v>
      </c>
      <c r="K53" s="9">
        <f t="shared" ca="1" si="10"/>
        <v>189924.10153186054</v>
      </c>
      <c r="L53" s="6">
        <f t="shared" ca="1" si="11"/>
        <v>275388.98672629986</v>
      </c>
      <c r="N53" s="9"/>
      <c r="O53" s="9"/>
      <c r="P53" s="9"/>
    </row>
    <row r="54" spans="1:16" x14ac:dyDescent="0.2">
      <c r="A54">
        <f t="shared" si="0"/>
        <v>53</v>
      </c>
      <c r="B54" s="5">
        <f t="shared" ca="1" si="5"/>
        <v>53</v>
      </c>
      <c r="C54" s="6">
        <f t="shared" ca="1" si="7"/>
        <v>2975442.016780708</v>
      </c>
      <c r="D54" s="20">
        <f t="shared" ca="1" si="6"/>
        <v>7.1762874559099243E-3</v>
      </c>
      <c r="E54" s="19">
        <f t="shared" ca="1" si="12"/>
        <v>6.0000000000000053E-2</v>
      </c>
      <c r="F54" s="9">
        <f t="shared" ca="1" si="2"/>
        <v>89265.39493499638</v>
      </c>
      <c r="G54" s="6">
        <f t="shared" ca="1" si="3"/>
        <v>89263.260503421232</v>
      </c>
      <c r="H54" s="6">
        <f t="shared" ca="1" si="4"/>
        <v>80336.934453079113</v>
      </c>
      <c r="I54" s="9">
        <f t="shared" ca="1" si="8"/>
        <v>2.1344315751484828</v>
      </c>
      <c r="J54" s="6">
        <f t="shared" ca="1" si="9"/>
        <v>178526.39294094814</v>
      </c>
      <c r="K54" s="9">
        <f t="shared" ca="1" si="10"/>
        <v>178528.52737252327</v>
      </c>
      <c r="L54" s="6">
        <f t="shared" ca="1" si="11"/>
        <v>258865.4618256024</v>
      </c>
      <c r="N54" s="9"/>
      <c r="O54" s="9"/>
      <c r="P54" s="9"/>
    </row>
    <row r="55" spans="1:16" x14ac:dyDescent="0.2">
      <c r="A55">
        <f t="shared" si="0"/>
        <v>54</v>
      </c>
      <c r="B55" s="5">
        <f t="shared" ca="1" si="5"/>
        <v>54</v>
      </c>
      <c r="C55" s="6">
        <f t="shared" ca="1" si="7"/>
        <v>2796913.4894081848</v>
      </c>
      <c r="D55" s="20">
        <f t="shared" ca="1" si="6"/>
        <v>7.1762874559099243E-3</v>
      </c>
      <c r="E55" s="19">
        <f t="shared" ca="1" si="12"/>
        <v>6.0000000000000053E-2</v>
      </c>
      <c r="F55" s="9">
        <f t="shared" ca="1" si="2"/>
        <v>83909.411046486901</v>
      </c>
      <c r="G55" s="6">
        <f t="shared" ca="1" si="3"/>
        <v>83907.404682245542</v>
      </c>
      <c r="H55" s="6">
        <f t="shared" ca="1" si="4"/>
        <v>75516.664214020988</v>
      </c>
      <c r="I55" s="9">
        <f t="shared" ca="1" si="8"/>
        <v>2.0063642413588241</v>
      </c>
      <c r="J55" s="6">
        <f t="shared" ca="1" si="9"/>
        <v>167814.68898263676</v>
      </c>
      <c r="K55" s="9">
        <f t="shared" ca="1" si="10"/>
        <v>167816.69534687811</v>
      </c>
      <c r="L55" s="6">
        <f t="shared" ca="1" si="11"/>
        <v>243333.35956089909</v>
      </c>
      <c r="N55" s="9"/>
      <c r="O55" s="9"/>
      <c r="P55" s="9"/>
    </row>
    <row r="56" spans="1:16" x14ac:dyDescent="0.2">
      <c r="A56">
        <f t="shared" si="0"/>
        <v>55</v>
      </c>
      <c r="B56" s="5">
        <f t="shared" ca="1" si="5"/>
        <v>55</v>
      </c>
      <c r="C56" s="6">
        <f t="shared" ca="1" si="7"/>
        <v>2629096.7940613069</v>
      </c>
      <c r="D56" s="20">
        <f t="shared" ca="1" si="6"/>
        <v>7.1762874559099243E-3</v>
      </c>
      <c r="E56" s="19">
        <f t="shared" ca="1" si="12"/>
        <v>6.0000000000000053E-2</v>
      </c>
      <c r="F56" s="9">
        <f t="shared" ca="1" si="2"/>
        <v>78874.789802873172</v>
      </c>
      <c r="G56" s="6">
        <f t="shared" ca="1" si="3"/>
        <v>78872.903821839209</v>
      </c>
      <c r="H56" s="6">
        <f t="shared" ca="1" si="4"/>
        <v>70985.613439655281</v>
      </c>
      <c r="I56" s="9">
        <f t="shared" ca="1" si="8"/>
        <v>1.8859810339636169</v>
      </c>
      <c r="J56" s="6">
        <f t="shared" ca="1" si="9"/>
        <v>157745.69448481651</v>
      </c>
      <c r="K56" s="9">
        <f t="shared" ca="1" si="10"/>
        <v>157747.58046585048</v>
      </c>
      <c r="L56" s="6">
        <f t="shared" ca="1" si="11"/>
        <v>228733.19390550576</v>
      </c>
      <c r="N56" s="9"/>
      <c r="O56" s="9"/>
      <c r="P56" s="9"/>
    </row>
    <row r="57" spans="1:16" x14ac:dyDescent="0.2">
      <c r="A57">
        <f t="shared" si="0"/>
        <v>56</v>
      </c>
      <c r="B57" s="5">
        <f t="shared" ca="1" si="5"/>
        <v>56</v>
      </c>
      <c r="C57" s="6">
        <f t="shared" ca="1" si="7"/>
        <v>2471349.2135954564</v>
      </c>
      <c r="D57" s="20">
        <f t="shared" ca="1" si="6"/>
        <v>7.1762874559099243E-3</v>
      </c>
      <c r="E57" s="19">
        <f t="shared" ca="1" si="12"/>
        <v>6.0000000000000053E-2</v>
      </c>
      <c r="F57" s="9">
        <f t="shared" ca="1" si="2"/>
        <v>74142.249228763889</v>
      </c>
      <c r="G57" s="6">
        <f t="shared" ca="1" si="3"/>
        <v>74140.476407863694</v>
      </c>
      <c r="H57" s="6">
        <f t="shared" ca="1" si="4"/>
        <v>66726.428767077319</v>
      </c>
      <c r="I57" s="9">
        <f t="shared" ca="1" si="8"/>
        <v>1.7728209001943469</v>
      </c>
      <c r="J57" s="6">
        <f t="shared" ca="1" si="9"/>
        <v>148280.8464464735</v>
      </c>
      <c r="K57" s="9">
        <f t="shared" ca="1" si="10"/>
        <v>148282.6192673737</v>
      </c>
      <c r="L57" s="6">
        <f t="shared" ca="1" si="11"/>
        <v>215009.04803445103</v>
      </c>
      <c r="N57" s="9"/>
      <c r="O57" s="9"/>
      <c r="P57" s="9"/>
    </row>
    <row r="58" spans="1:16" x14ac:dyDescent="0.2">
      <c r="A58">
        <f t="shared" si="0"/>
        <v>57</v>
      </c>
      <c r="B58" s="5">
        <f t="shared" ca="1" si="5"/>
        <v>57</v>
      </c>
      <c r="C58" s="6">
        <f t="shared" ca="1" si="7"/>
        <v>2323066.5943280826</v>
      </c>
      <c r="D58" s="20">
        <f t="shared" ca="1" si="6"/>
        <v>7.1762874559099243E-3</v>
      </c>
      <c r="E58" s="19">
        <f t="shared" ca="1" si="12"/>
        <v>6.0000000000000053E-2</v>
      </c>
      <c r="F58" s="9">
        <f t="shared" ca="1" si="2"/>
        <v>69693.664280293247</v>
      </c>
      <c r="G58" s="6">
        <f t="shared" ca="1" si="3"/>
        <v>69691.997829842483</v>
      </c>
      <c r="H58" s="6">
        <f t="shared" ca="1" si="4"/>
        <v>62722.798046858232</v>
      </c>
      <c r="I58" s="9">
        <f t="shared" ca="1" si="8"/>
        <v>1.6664504507643869</v>
      </c>
      <c r="J58" s="6">
        <f t="shared" ca="1" si="9"/>
        <v>139383.89567265805</v>
      </c>
      <c r="K58" s="9">
        <f t="shared" ca="1" si="10"/>
        <v>139385.56212310883</v>
      </c>
      <c r="L58" s="6">
        <f t="shared" ca="1" si="11"/>
        <v>202108.36016996705</v>
      </c>
      <c r="N58" s="9"/>
      <c r="O58" s="9"/>
      <c r="P58" s="9"/>
    </row>
    <row r="59" spans="1:16" x14ac:dyDescent="0.2">
      <c r="A59">
        <f t="shared" si="0"/>
        <v>58</v>
      </c>
      <c r="B59" s="5">
        <f t="shared" ca="1" si="5"/>
        <v>58</v>
      </c>
      <c r="C59" s="6">
        <f t="shared" ca="1" si="7"/>
        <v>2183681.032204974</v>
      </c>
      <c r="D59" s="20">
        <f t="shared" ca="1" si="6"/>
        <v>7.1762874559099243E-3</v>
      </c>
      <c r="E59" s="19">
        <f t="shared" ca="1" si="12"/>
        <v>6.0000000000000053E-2</v>
      </c>
      <c r="F59" s="9">
        <f t="shared" ca="1" si="2"/>
        <v>65511.997428449235</v>
      </c>
      <c r="G59" s="6">
        <f t="shared" ca="1" si="3"/>
        <v>65510.430966149215</v>
      </c>
      <c r="H59" s="6">
        <f t="shared" ca="1" si="4"/>
        <v>58959.387869534294</v>
      </c>
      <c r="I59" s="9">
        <f t="shared" ca="1" si="8"/>
        <v>1.5664623000193387</v>
      </c>
      <c r="J59" s="6">
        <f t="shared" ca="1" si="9"/>
        <v>131020.76794456055</v>
      </c>
      <c r="K59" s="9">
        <f t="shared" ca="1" si="10"/>
        <v>131022.33440686057</v>
      </c>
      <c r="L59" s="6">
        <f t="shared" ca="1" si="11"/>
        <v>189981.72227639487</v>
      </c>
      <c r="N59" s="9"/>
      <c r="O59" s="9"/>
      <c r="P59" s="9"/>
    </row>
    <row r="60" spans="1:16" x14ac:dyDescent="0.2">
      <c r="A60">
        <f t="shared" si="0"/>
        <v>59</v>
      </c>
      <c r="B60" s="5">
        <f t="shared" ca="1" si="5"/>
        <v>59</v>
      </c>
      <c r="C60" s="6">
        <f t="shared" ca="1" si="7"/>
        <v>2052658.6977981133</v>
      </c>
      <c r="D60" s="20">
        <f t="shared" ca="1" si="6"/>
        <v>7.1762874559099243E-3</v>
      </c>
      <c r="E60" s="19">
        <f t="shared" ca="1" si="12"/>
        <v>6.0000000000000053E-2</v>
      </c>
      <c r="F60" s="9">
        <f t="shared" ca="1" si="2"/>
        <v>61581.233407449137</v>
      </c>
      <c r="G60" s="6">
        <f t="shared" ca="1" si="3"/>
        <v>61579.760933943398</v>
      </c>
      <c r="H60" s="6">
        <f t="shared" ca="1" si="4"/>
        <v>55421.784840549059</v>
      </c>
      <c r="I60" s="9">
        <f t="shared" ca="1" si="8"/>
        <v>1.4724735057388898</v>
      </c>
      <c r="J60" s="6">
        <f t="shared" ca="1" si="9"/>
        <v>123159.43351947657</v>
      </c>
      <c r="K60" s="9">
        <f t="shared" ca="1" si="10"/>
        <v>123160.90599298231</v>
      </c>
      <c r="L60" s="6">
        <f t="shared" ca="1" si="11"/>
        <v>178582.69083353138</v>
      </c>
      <c r="N60" s="9"/>
      <c r="O60" s="9"/>
      <c r="P60" s="9"/>
    </row>
    <row r="61" spans="1:16" x14ac:dyDescent="0.2">
      <c r="A61">
        <f t="shared" si="0"/>
        <v>60</v>
      </c>
      <c r="B61" s="5">
        <f t="shared" ca="1" si="5"/>
        <v>60</v>
      </c>
      <c r="C61" s="6">
        <f t="shared" ca="1" si="7"/>
        <v>1929497.7918051311</v>
      </c>
      <c r="D61" s="20">
        <f t="shared" ca="1" si="6"/>
        <v>7.1762874559099243E-3</v>
      </c>
      <c r="E61" s="19">
        <f t="shared" ca="1" si="12"/>
        <v>6.0000000000000053E-2</v>
      </c>
      <c r="F61" s="9">
        <f t="shared" ca="1" si="2"/>
        <v>57886.317878256421</v>
      </c>
      <c r="G61" s="6">
        <f t="shared" ca="1" si="3"/>
        <v>57884.933754153935</v>
      </c>
      <c r="H61" s="6">
        <f t="shared" ca="1" si="4"/>
        <v>52096.440378738538</v>
      </c>
      <c r="I61" s="9">
        <f t="shared" ca="1" si="8"/>
        <v>1.3841241024856572</v>
      </c>
      <c r="J61" s="6">
        <f t="shared" ca="1" si="9"/>
        <v>115769.78446086182</v>
      </c>
      <c r="K61" s="9">
        <f t="shared" ca="1" si="10"/>
        <v>115771.1685849643</v>
      </c>
      <c r="L61" s="6">
        <f t="shared" ca="1" si="11"/>
        <v>167867.60896370283</v>
      </c>
      <c r="N61" s="9"/>
      <c r="O61" s="9"/>
      <c r="P61" s="9"/>
    </row>
    <row r="62" spans="1:16" x14ac:dyDescent="0.2">
      <c r="A62">
        <f t="shared" si="0"/>
        <v>61</v>
      </c>
      <c r="B62" s="5">
        <f t="shared" ca="1" si="5"/>
        <v>61</v>
      </c>
      <c r="C62" s="6">
        <f t="shared" ca="1" si="7"/>
        <v>1813726.6232201669</v>
      </c>
      <c r="D62" s="20">
        <f t="shared" ca="1" si="6"/>
        <v>7.1762874559099243E-3</v>
      </c>
      <c r="E62" s="19">
        <f t="shared" ca="1" si="12"/>
        <v>6.0000000000000053E-2</v>
      </c>
      <c r="F62" s="9">
        <f t="shared" ca="1" si="2"/>
        <v>54413.099772328023</v>
      </c>
      <c r="G62" s="6">
        <f t="shared" ca="1" si="3"/>
        <v>54411.798696605001</v>
      </c>
      <c r="H62" s="6">
        <f t="shared" ca="1" si="4"/>
        <v>48970.618826944505</v>
      </c>
      <c r="I62" s="9">
        <f t="shared" ca="1" si="8"/>
        <v>1.3010757230222225</v>
      </c>
      <c r="J62" s="6">
        <f t="shared" ca="1" si="9"/>
        <v>108823.51932866673</v>
      </c>
      <c r="K62" s="9">
        <f t="shared" ca="1" si="10"/>
        <v>108824.82040438976</v>
      </c>
      <c r="L62" s="6">
        <f t="shared" ca="1" si="11"/>
        <v>157795.43923133425</v>
      </c>
      <c r="N62" s="9"/>
      <c r="O62" s="9"/>
      <c r="P62" s="9"/>
    </row>
    <row r="63" spans="1:16" x14ac:dyDescent="0.2">
      <c r="A63">
        <f t="shared" si="0"/>
        <v>62</v>
      </c>
      <c r="B63" s="5">
        <f t="shared" ca="1" si="5"/>
        <v>62</v>
      </c>
      <c r="C63" s="6">
        <f t="shared" ca="1" si="7"/>
        <v>1704901.8028157772</v>
      </c>
      <c r="D63" s="20">
        <f t="shared" ca="1" si="6"/>
        <v>7.1762874559099243E-3</v>
      </c>
      <c r="E63" s="19">
        <f t="shared" ca="1" si="12"/>
        <v>6.0000000000000053E-2</v>
      </c>
      <c r="F63" s="9">
        <f t="shared" ca="1" si="2"/>
        <v>51148.277094775622</v>
      </c>
      <c r="G63" s="6">
        <f t="shared" ca="1" si="3"/>
        <v>51147.054084473319</v>
      </c>
      <c r="H63" s="6">
        <f t="shared" ca="1" si="4"/>
        <v>46032.348676025984</v>
      </c>
      <c r="I63" s="9">
        <f t="shared" ca="1" si="8"/>
        <v>1.2230103023030097</v>
      </c>
      <c r="J63" s="6">
        <f t="shared" ca="1" si="9"/>
        <v>102294.03478832859</v>
      </c>
      <c r="K63" s="9">
        <f t="shared" ca="1" si="10"/>
        <v>102295.25779863089</v>
      </c>
      <c r="L63" s="6">
        <f t="shared" ca="1" si="11"/>
        <v>148327.60647465687</v>
      </c>
      <c r="N63" s="9"/>
      <c r="O63" s="9"/>
      <c r="P63" s="9"/>
    </row>
    <row r="64" spans="1:16" x14ac:dyDescent="0.2">
      <c r="A64">
        <f t="shared" si="0"/>
        <v>63</v>
      </c>
      <c r="B64" s="5">
        <f t="shared" ca="1" si="5"/>
        <v>63</v>
      </c>
      <c r="C64" s="6">
        <f t="shared" ca="1" si="7"/>
        <v>1602606.5450171463</v>
      </c>
      <c r="D64" s="20">
        <f t="shared" ca="1" si="6"/>
        <v>7.1762874559099243E-3</v>
      </c>
      <c r="E64" s="19">
        <f t="shared" ca="1" si="12"/>
        <v>6.0000000000000053E-2</v>
      </c>
      <c r="F64" s="9">
        <f t="shared" ca="1" si="2"/>
        <v>48079.345979373866</v>
      </c>
      <c r="G64" s="6">
        <f t="shared" ca="1" si="3"/>
        <v>48078.196350514387</v>
      </c>
      <c r="H64" s="6">
        <f t="shared" ca="1" si="4"/>
        <v>43270.376715462946</v>
      </c>
      <c r="I64" s="9">
        <f t="shared" ca="1" si="8"/>
        <v>1.1496288594789803</v>
      </c>
      <c r="J64" s="6">
        <f t="shared" ca="1" si="9"/>
        <v>96156.32372329729</v>
      </c>
      <c r="K64" s="9">
        <f t="shared" ca="1" si="10"/>
        <v>96157.473352156769</v>
      </c>
      <c r="L64" s="6">
        <f t="shared" ca="1" si="11"/>
        <v>139427.8500676197</v>
      </c>
      <c r="N64" s="9"/>
      <c r="O64" s="9"/>
      <c r="P64" s="9"/>
    </row>
    <row r="65" spans="1:16" x14ac:dyDescent="0.2">
      <c r="A65">
        <f t="shared" si="0"/>
        <v>64</v>
      </c>
      <c r="B65" s="5">
        <f t="shared" ca="1" si="5"/>
        <v>64</v>
      </c>
      <c r="C65" s="6">
        <f t="shared" ca="1" si="7"/>
        <v>1506449.0716649895</v>
      </c>
      <c r="D65" s="20">
        <f t="shared" ca="1" si="6"/>
        <v>7.1762874559099243E-3</v>
      </c>
      <c r="E65" s="19">
        <f t="shared" ca="1" si="12"/>
        <v>6.0000000000000053E-2</v>
      </c>
      <c r="F65" s="9">
        <f t="shared" ca="1" si="2"/>
        <v>45194.552800302386</v>
      </c>
      <c r="G65" s="6">
        <f t="shared" ca="1" si="3"/>
        <v>45193.472149949681</v>
      </c>
      <c r="H65" s="6">
        <f t="shared" ca="1" si="4"/>
        <v>40674.124934954714</v>
      </c>
      <c r="I65" s="9">
        <f t="shared" ca="1" si="8"/>
        <v>1.0806503527055611</v>
      </c>
      <c r="J65" s="6">
        <f t="shared" ca="1" si="9"/>
        <v>90386.879460878292</v>
      </c>
      <c r="K65" s="9">
        <f t="shared" ca="1" si="10"/>
        <v>90387.96011123099</v>
      </c>
      <c r="L65" s="6">
        <f t="shared" ca="1" si="11"/>
        <v>131062.0850461857</v>
      </c>
      <c r="N65" s="9"/>
      <c r="O65" s="9"/>
      <c r="P65" s="9"/>
    </row>
    <row r="66" spans="1:16" x14ac:dyDescent="0.2">
      <c r="A66">
        <f t="shared" ref="A66:A129" si="13">IF(ROW(A66)-1&gt;$O$4,"",ROW(A66)-1)</f>
        <v>65</v>
      </c>
      <c r="B66" s="5">
        <f t="shared" ca="1" si="5"/>
        <v>65</v>
      </c>
      <c r="C66" s="6">
        <f t="shared" ca="1" si="7"/>
        <v>1416061.1115537584</v>
      </c>
      <c r="D66" s="20">
        <f t="shared" ca="1" si="6"/>
        <v>7.1762874559099243E-3</v>
      </c>
      <c r="E66" s="19">
        <f t="shared" ca="1" si="12"/>
        <v>6.0000000000000053E-2</v>
      </c>
      <c r="F66" s="9">
        <f t="shared" ref="F66:F129" ca="1" si="14">IFERROR(-PMT($O$2, $O$4, C66, 0,0),0)</f>
        <v>42482.849157215605</v>
      </c>
      <c r="G66" s="6">
        <f t="shared" ref="G66:G129" ca="1" si="15">C66*$O$2</f>
        <v>42481.833346612751</v>
      </c>
      <c r="H66" s="6">
        <f t="shared" ref="H66:H129" ca="1" si="16">C66*$O$6</f>
        <v>38233.650011951475</v>
      </c>
      <c r="I66" s="9">
        <f t="shared" ca="1" si="8"/>
        <v>1.0158106028538896</v>
      </c>
      <c r="J66" s="6">
        <f t="shared" ca="1" si="9"/>
        <v>84963.605744589411</v>
      </c>
      <c r="K66" s="9">
        <f t="shared" ca="1" si="10"/>
        <v>84964.621555192265</v>
      </c>
      <c r="L66" s="6">
        <f t="shared" ca="1" si="11"/>
        <v>123198.27156714373</v>
      </c>
      <c r="N66" s="9"/>
      <c r="O66" s="9"/>
      <c r="P66" s="9"/>
    </row>
    <row r="67" spans="1:16" x14ac:dyDescent="0.2">
      <c r="A67">
        <f t="shared" si="13"/>
        <v>66</v>
      </c>
      <c r="B67" s="5">
        <f t="shared" ref="B67:B130" ca="1" si="17">IF(ROW(B67)-1&gt;$O$5, "", OFFSET(B66, 0,0)+1)</f>
        <v>66</v>
      </c>
      <c r="C67" s="6">
        <f t="shared" ca="1" si="7"/>
        <v>1331096.4899985662</v>
      </c>
      <c r="D67" s="20">
        <f t="shared" ref="D67:D130" ca="1" si="18">1-(1-(E67/100))^12</f>
        <v>7.1762874559099243E-3</v>
      </c>
      <c r="E67" s="19">
        <f t="shared" ca="1" si="12"/>
        <v>6.0000000000000053E-2</v>
      </c>
      <c r="F67" s="9">
        <f t="shared" ca="1" si="14"/>
        <v>39933.849561238698</v>
      </c>
      <c r="G67" s="6">
        <f t="shared" ca="1" si="15"/>
        <v>39932.894699956982</v>
      </c>
      <c r="H67" s="6">
        <f t="shared" ca="1" si="16"/>
        <v>35939.605229961286</v>
      </c>
      <c r="I67" s="9">
        <f t="shared" ca="1" si="8"/>
        <v>0.95486128171614837</v>
      </c>
      <c r="J67" s="6">
        <f t="shared" ca="1" si="9"/>
        <v>79865.732108237149</v>
      </c>
      <c r="K67" s="9">
        <f t="shared" ca="1" si="10"/>
        <v>79866.686969518865</v>
      </c>
      <c r="L67" s="6">
        <f t="shared" ca="1" si="11"/>
        <v>115806.29219948014</v>
      </c>
      <c r="N67" s="9"/>
      <c r="O67" s="9"/>
      <c r="P67" s="9"/>
    </row>
    <row r="68" spans="1:16" x14ac:dyDescent="0.2">
      <c r="A68">
        <f t="shared" si="13"/>
        <v>67</v>
      </c>
      <c r="B68" s="5">
        <f t="shared" ca="1" si="17"/>
        <v>67</v>
      </c>
      <c r="C68" s="6">
        <f t="shared" ref="C68:C131" ca="1" si="19">IFERROR(C67-K67,0)</f>
        <v>1251229.8030290473</v>
      </c>
      <c r="D68" s="20">
        <f t="shared" ca="1" si="18"/>
        <v>7.1762874559099243E-3</v>
      </c>
      <c r="E68" s="19">
        <f t="shared" ca="1" si="12"/>
        <v>6.0000000000000053E-2</v>
      </c>
      <c r="F68" s="9">
        <f t="shared" ca="1" si="14"/>
        <v>37537.791659832357</v>
      </c>
      <c r="G68" s="6">
        <f t="shared" ca="1" si="15"/>
        <v>37536.894090871421</v>
      </c>
      <c r="H68" s="6">
        <f t="shared" ca="1" si="16"/>
        <v>33783.204681784278</v>
      </c>
      <c r="I68" s="9">
        <f t="shared" ca="1" si="8"/>
        <v>0.89756896093604155</v>
      </c>
      <c r="J68" s="6">
        <f t="shared" ca="1" si="9"/>
        <v>75073.734327605256</v>
      </c>
      <c r="K68" s="9">
        <f t="shared" ca="1" si="10"/>
        <v>75074.631896566192</v>
      </c>
      <c r="L68" s="6">
        <f t="shared" ca="1" si="11"/>
        <v>108857.83657835047</v>
      </c>
      <c r="N68" s="9"/>
      <c r="O68" s="9"/>
      <c r="P68" s="9"/>
    </row>
    <row r="69" spans="1:16" x14ac:dyDescent="0.2">
      <c r="A69">
        <f t="shared" si="13"/>
        <v>68</v>
      </c>
      <c r="B69" s="5">
        <f t="shared" ca="1" si="17"/>
        <v>68</v>
      </c>
      <c r="C69" s="6">
        <f t="shared" ca="1" si="19"/>
        <v>1176155.1711324812</v>
      </c>
      <c r="D69" s="20">
        <f t="shared" ca="1" si="18"/>
        <v>7.1762874559099243E-3</v>
      </c>
      <c r="E69" s="19">
        <f t="shared" ca="1" si="12"/>
        <v>6.0000000000000053E-2</v>
      </c>
      <c r="F69" s="9">
        <f t="shared" ca="1" si="14"/>
        <v>35285.498848192481</v>
      </c>
      <c r="G69" s="6">
        <f t="shared" ca="1" si="15"/>
        <v>35284.655133974433</v>
      </c>
      <c r="H69" s="6">
        <f t="shared" ca="1" si="16"/>
        <v>31756.189620576992</v>
      </c>
      <c r="I69" s="9">
        <f t="shared" ref="I69:I132" ca="1" si="20">F69-G69</f>
        <v>0.84371421804826241</v>
      </c>
      <c r="J69" s="6">
        <f t="shared" ref="J69:J132" ca="1" si="21">E69*(C69-I69)</f>
        <v>70569.259645095852</v>
      </c>
      <c r="K69" s="9">
        <f t="shared" ref="K69:K132" ca="1" si="22">(I69+J69)</f>
        <v>70570.1033593139</v>
      </c>
      <c r="L69" s="6">
        <f t="shared" ref="L69:L132" ca="1" si="23">(H69+K69)</f>
        <v>102326.29297989089</v>
      </c>
      <c r="N69" s="9"/>
      <c r="O69" s="9"/>
      <c r="P69" s="9"/>
    </row>
    <row r="70" spans="1:16" x14ac:dyDescent="0.2">
      <c r="A70">
        <f t="shared" si="13"/>
        <v>69</v>
      </c>
      <c r="B70" s="5">
        <f t="shared" ca="1" si="17"/>
        <v>69</v>
      </c>
      <c r="C70" s="6">
        <f t="shared" ca="1" si="19"/>
        <v>1105585.0677731673</v>
      </c>
      <c r="D70" s="20">
        <f t="shared" ca="1" si="18"/>
        <v>7.1762874559099243E-3</v>
      </c>
      <c r="E70" s="19">
        <f t="shared" ca="1" si="12"/>
        <v>6.0000000000000053E-2</v>
      </c>
      <c r="F70" s="9">
        <f t="shared" ca="1" si="14"/>
        <v>33168.345123991057</v>
      </c>
      <c r="G70" s="6">
        <f t="shared" ca="1" si="15"/>
        <v>33167.552033195017</v>
      </c>
      <c r="H70" s="6">
        <f t="shared" ca="1" si="16"/>
        <v>29850.796829875515</v>
      </c>
      <c r="I70" s="9">
        <f t="shared" ca="1" si="20"/>
        <v>0.7930907960399054</v>
      </c>
      <c r="J70" s="6">
        <f t="shared" ca="1" si="21"/>
        <v>66335.056480942323</v>
      </c>
      <c r="K70" s="9">
        <f t="shared" ca="1" si="22"/>
        <v>66335.849571738363</v>
      </c>
      <c r="L70" s="6">
        <f t="shared" ca="1" si="23"/>
        <v>96186.646401613878</v>
      </c>
      <c r="N70" s="9"/>
      <c r="O70" s="9"/>
      <c r="P70" s="9"/>
    </row>
    <row r="71" spans="1:16" x14ac:dyDescent="0.2">
      <c r="A71">
        <f t="shared" si="13"/>
        <v>70</v>
      </c>
      <c r="B71" s="5">
        <f t="shared" ca="1" si="17"/>
        <v>70</v>
      </c>
      <c r="C71" s="6">
        <f t="shared" ca="1" si="19"/>
        <v>1039249.2182014289</v>
      </c>
      <c r="D71" s="20">
        <f t="shared" ca="1" si="18"/>
        <v>7.1762874559099243E-3</v>
      </c>
      <c r="E71" s="19">
        <f t="shared" ca="1" si="12"/>
        <v>6.0000000000000053E-2</v>
      </c>
      <c r="F71" s="9">
        <f t="shared" ca="1" si="14"/>
        <v>31178.222050856355</v>
      </c>
      <c r="G71" s="6">
        <f t="shared" ca="1" si="15"/>
        <v>31177.476546042864</v>
      </c>
      <c r="H71" s="6">
        <f t="shared" ca="1" si="16"/>
        <v>28059.728891438579</v>
      </c>
      <c r="I71" s="9">
        <f t="shared" ca="1" si="20"/>
        <v>0.74550481349069742</v>
      </c>
      <c r="J71" s="6">
        <f t="shared" ca="1" si="21"/>
        <v>62354.908361796981</v>
      </c>
      <c r="K71" s="9">
        <f t="shared" ca="1" si="22"/>
        <v>62355.653866610475</v>
      </c>
      <c r="L71" s="6">
        <f t="shared" ca="1" si="23"/>
        <v>90415.382758049062</v>
      </c>
      <c r="N71" s="9"/>
      <c r="O71" s="9"/>
      <c r="P71" s="9"/>
    </row>
    <row r="72" spans="1:16" x14ac:dyDescent="0.2">
      <c r="A72">
        <f t="shared" si="13"/>
        <v>71</v>
      </c>
      <c r="B72" s="5">
        <f t="shared" ca="1" si="17"/>
        <v>71</v>
      </c>
      <c r="C72" s="6">
        <f t="shared" ca="1" si="19"/>
        <v>976893.56433481839</v>
      </c>
      <c r="D72" s="20">
        <f t="shared" ca="1" si="18"/>
        <v>7.1762874559099243E-3</v>
      </c>
      <c r="E72" s="19">
        <f t="shared" ca="1" si="12"/>
        <v>6.0000000000000053E-2</v>
      </c>
      <c r="F72" s="9">
        <f t="shared" ca="1" si="14"/>
        <v>29307.507704066527</v>
      </c>
      <c r="G72" s="6">
        <f t="shared" ca="1" si="15"/>
        <v>29306.80693004455</v>
      </c>
      <c r="H72" s="6">
        <f t="shared" ca="1" si="16"/>
        <v>26376.126237040095</v>
      </c>
      <c r="I72" s="9">
        <f t="shared" ca="1" si="20"/>
        <v>0.70077402197784977</v>
      </c>
      <c r="J72" s="6">
        <f t="shared" ca="1" si="21"/>
        <v>58613.571813647832</v>
      </c>
      <c r="K72" s="9">
        <f t="shared" ca="1" si="22"/>
        <v>58614.27258766981</v>
      </c>
      <c r="L72" s="6">
        <f t="shared" ca="1" si="23"/>
        <v>84990.398824709904</v>
      </c>
      <c r="N72" s="9"/>
      <c r="O72" s="9"/>
      <c r="P72" s="9"/>
    </row>
    <row r="73" spans="1:16" x14ac:dyDescent="0.2">
      <c r="A73">
        <f t="shared" si="13"/>
        <v>72</v>
      </c>
      <c r="B73" s="5">
        <f t="shared" ca="1" si="17"/>
        <v>72</v>
      </c>
      <c r="C73" s="6">
        <f t="shared" ca="1" si="19"/>
        <v>918279.29174714861</v>
      </c>
      <c r="D73" s="20">
        <f t="shared" ca="1" si="18"/>
        <v>7.1762874559099243E-3</v>
      </c>
      <c r="E73" s="19">
        <f t="shared" ca="1" si="12"/>
        <v>6.0000000000000053E-2</v>
      </c>
      <c r="F73" s="9">
        <f t="shared" ca="1" si="14"/>
        <v>27549.03747952258</v>
      </c>
      <c r="G73" s="6">
        <f t="shared" ca="1" si="15"/>
        <v>27548.378752414457</v>
      </c>
      <c r="H73" s="6">
        <f t="shared" ca="1" si="16"/>
        <v>24793.540877173011</v>
      </c>
      <c r="I73" s="9">
        <f t="shared" ca="1" si="20"/>
        <v>0.65872710812254809</v>
      </c>
      <c r="J73" s="6">
        <f t="shared" ca="1" si="21"/>
        <v>55096.717981202477</v>
      </c>
      <c r="K73" s="9">
        <f t="shared" ca="1" si="22"/>
        <v>55097.376708310599</v>
      </c>
      <c r="L73" s="6">
        <f t="shared" ca="1" si="23"/>
        <v>79890.917585483607</v>
      </c>
      <c r="N73" s="9"/>
      <c r="O73" s="9"/>
      <c r="P73" s="9"/>
    </row>
    <row r="74" spans="1:16" x14ac:dyDescent="0.2">
      <c r="A74">
        <f t="shared" si="13"/>
        <v>73</v>
      </c>
      <c r="B74" s="5">
        <f t="shared" ca="1" si="17"/>
        <v>73</v>
      </c>
      <c r="C74" s="6">
        <f t="shared" ca="1" si="19"/>
        <v>863181.91503883805</v>
      </c>
      <c r="D74" s="20">
        <f t="shared" ca="1" si="18"/>
        <v>7.1762874559099243E-3</v>
      </c>
      <c r="E74" s="19">
        <f t="shared" ca="1" si="12"/>
        <v>6.0000000000000053E-2</v>
      </c>
      <c r="F74" s="9">
        <f t="shared" ca="1" si="14"/>
        <v>25896.076654202589</v>
      </c>
      <c r="G74" s="6">
        <f t="shared" ca="1" si="15"/>
        <v>25895.457451165141</v>
      </c>
      <c r="H74" s="6">
        <f t="shared" ca="1" si="16"/>
        <v>23305.911706048628</v>
      </c>
      <c r="I74" s="9">
        <f t="shared" ca="1" si="20"/>
        <v>0.61920303744773264</v>
      </c>
      <c r="J74" s="6">
        <f t="shared" ca="1" si="21"/>
        <v>51790.87775014808</v>
      </c>
      <c r="K74" s="9">
        <f t="shared" ca="1" si="22"/>
        <v>51791.496953185531</v>
      </c>
      <c r="L74" s="6">
        <f t="shared" ca="1" si="23"/>
        <v>75097.408659234163</v>
      </c>
      <c r="N74" s="9"/>
      <c r="O74" s="9"/>
      <c r="P74" s="9"/>
    </row>
    <row r="75" spans="1:16" x14ac:dyDescent="0.2">
      <c r="A75">
        <f t="shared" si="13"/>
        <v>74</v>
      </c>
      <c r="B75" s="5">
        <f t="shared" ca="1" si="17"/>
        <v>74</v>
      </c>
      <c r="C75" s="6">
        <f t="shared" ca="1" si="19"/>
        <v>811390.41808565252</v>
      </c>
      <c r="D75" s="20">
        <f t="shared" ca="1" si="18"/>
        <v>7.1762874559099243E-3</v>
      </c>
      <c r="E75" s="19">
        <f t="shared" ca="1" si="12"/>
        <v>6.0000000000000053E-2</v>
      </c>
      <c r="F75" s="9">
        <f t="shared" ca="1" si="14"/>
        <v>24342.294593007246</v>
      </c>
      <c r="G75" s="6">
        <f t="shared" ca="1" si="15"/>
        <v>24341.712542569574</v>
      </c>
      <c r="H75" s="6">
        <f t="shared" ca="1" si="16"/>
        <v>21907.541288312619</v>
      </c>
      <c r="I75" s="9">
        <f t="shared" ca="1" si="20"/>
        <v>0.58205043767156894</v>
      </c>
      <c r="J75" s="6">
        <f t="shared" ca="1" si="21"/>
        <v>48683.390162112933</v>
      </c>
      <c r="K75" s="9">
        <f t="shared" ca="1" si="22"/>
        <v>48683.972212550609</v>
      </c>
      <c r="L75" s="6">
        <f t="shared" ca="1" si="23"/>
        <v>70591.513500863221</v>
      </c>
      <c r="N75" s="9"/>
      <c r="O75" s="9"/>
      <c r="P75" s="9"/>
    </row>
    <row r="76" spans="1:16" x14ac:dyDescent="0.2">
      <c r="A76">
        <f t="shared" si="13"/>
        <v>75</v>
      </c>
      <c r="B76" s="5">
        <f t="shared" ca="1" si="17"/>
        <v>75</v>
      </c>
      <c r="C76" s="6">
        <f t="shared" ca="1" si="19"/>
        <v>762706.44587310194</v>
      </c>
      <c r="D76" s="20">
        <f t="shared" ca="1" si="18"/>
        <v>7.1762874559099243E-3</v>
      </c>
      <c r="E76" s="19">
        <f t="shared" ca="1" si="12"/>
        <v>6.0000000000000053E-2</v>
      </c>
      <c r="F76" s="9">
        <f t="shared" ca="1" si="14"/>
        <v>22881.740503211982</v>
      </c>
      <c r="G76" s="6">
        <f t="shared" ca="1" si="15"/>
        <v>22881.193376193056</v>
      </c>
      <c r="H76" s="6">
        <f t="shared" ca="1" si="16"/>
        <v>20593.074038573752</v>
      </c>
      <c r="I76" s="9">
        <f t="shared" ca="1" si="20"/>
        <v>0.54712701892640325</v>
      </c>
      <c r="J76" s="6">
        <f t="shared" ca="1" si="21"/>
        <v>45762.353924765019</v>
      </c>
      <c r="K76" s="9">
        <f t="shared" ca="1" si="22"/>
        <v>45762.901051783949</v>
      </c>
      <c r="L76" s="6">
        <f t="shared" ca="1" si="23"/>
        <v>66355.975090357708</v>
      </c>
      <c r="N76" s="9"/>
      <c r="O76" s="9"/>
      <c r="P76" s="9"/>
    </row>
    <row r="77" spans="1:16" x14ac:dyDescent="0.2">
      <c r="A77">
        <f t="shared" si="13"/>
        <v>76</v>
      </c>
      <c r="B77" s="5">
        <f t="shared" ca="1" si="17"/>
        <v>76</v>
      </c>
      <c r="C77" s="6">
        <f t="shared" ca="1" si="19"/>
        <v>716943.54482131801</v>
      </c>
      <c r="D77" s="20">
        <f t="shared" ca="1" si="18"/>
        <v>7.1762874559099243E-3</v>
      </c>
      <c r="E77" s="19">
        <f t="shared" ca="1" si="12"/>
        <v>6.0000000000000053E-2</v>
      </c>
      <c r="F77" s="9">
        <f t="shared" ca="1" si="14"/>
        <v>21508.820643668398</v>
      </c>
      <c r="G77" s="6">
        <f t="shared" ca="1" si="15"/>
        <v>21508.306344639539</v>
      </c>
      <c r="H77" s="6">
        <f t="shared" ca="1" si="16"/>
        <v>19357.475710175586</v>
      </c>
      <c r="I77" s="9">
        <f t="shared" ca="1" si="20"/>
        <v>0.51429902885865886</v>
      </c>
      <c r="J77" s="6">
        <f t="shared" ca="1" si="21"/>
        <v>43016.581831337382</v>
      </c>
      <c r="K77" s="9">
        <f t="shared" ca="1" si="22"/>
        <v>43017.096130366241</v>
      </c>
      <c r="L77" s="6">
        <f t="shared" ca="1" si="23"/>
        <v>62374.57184054183</v>
      </c>
      <c r="N77" s="9"/>
      <c r="O77" s="9"/>
      <c r="P77" s="9"/>
    </row>
    <row r="78" spans="1:16" x14ac:dyDescent="0.2">
      <c r="A78">
        <f t="shared" si="13"/>
        <v>77</v>
      </c>
      <c r="B78" s="5">
        <f t="shared" ca="1" si="17"/>
        <v>77</v>
      </c>
      <c r="C78" s="6">
        <f t="shared" ca="1" si="19"/>
        <v>673926.4486909518</v>
      </c>
      <c r="D78" s="20">
        <f t="shared" ca="1" si="18"/>
        <v>7.1762874559099243E-3</v>
      </c>
      <c r="E78" s="19">
        <f t="shared" ca="1" si="12"/>
        <v>6.0000000000000053E-2</v>
      </c>
      <c r="F78" s="9">
        <f t="shared" ca="1" si="14"/>
        <v>20218.276901468882</v>
      </c>
      <c r="G78" s="6">
        <f t="shared" ca="1" si="15"/>
        <v>20217.793460728553</v>
      </c>
      <c r="H78" s="6">
        <f t="shared" ca="1" si="16"/>
        <v>18196.0141146557</v>
      </c>
      <c r="I78" s="9">
        <f t="shared" ca="1" si="20"/>
        <v>0.48344074032866047</v>
      </c>
      <c r="J78" s="6">
        <f t="shared" ca="1" si="21"/>
        <v>40435.557915012723</v>
      </c>
      <c r="K78" s="9">
        <f t="shared" ca="1" si="22"/>
        <v>40436.041355753056</v>
      </c>
      <c r="L78" s="6">
        <f t="shared" ca="1" si="23"/>
        <v>58632.055470408755</v>
      </c>
      <c r="N78" s="9"/>
      <c r="O78" s="9"/>
      <c r="P78" s="9"/>
    </row>
    <row r="79" spans="1:16" x14ac:dyDescent="0.2">
      <c r="A79">
        <f t="shared" si="13"/>
        <v>78</v>
      </c>
      <c r="B79" s="5">
        <f t="shared" ca="1" si="17"/>
        <v>78</v>
      </c>
      <c r="C79" s="6">
        <f t="shared" ca="1" si="19"/>
        <v>633490.40733519872</v>
      </c>
      <c r="D79" s="20">
        <f t="shared" ca="1" si="18"/>
        <v>7.1762874559099243E-3</v>
      </c>
      <c r="E79" s="19">
        <f t="shared" ca="1" si="12"/>
        <v>6.0000000000000053E-2</v>
      </c>
      <c r="F79" s="9">
        <f t="shared" ca="1" si="14"/>
        <v>19005.166654025885</v>
      </c>
      <c r="G79" s="6">
        <f t="shared" ca="1" si="15"/>
        <v>19004.712220055961</v>
      </c>
      <c r="H79" s="6">
        <f t="shared" ca="1" si="16"/>
        <v>17104.240998050365</v>
      </c>
      <c r="I79" s="9">
        <f t="shared" ca="1" si="20"/>
        <v>0.45443396992413909</v>
      </c>
      <c r="J79" s="6">
        <f t="shared" ca="1" si="21"/>
        <v>38009.397174073762</v>
      </c>
      <c r="K79" s="9">
        <f t="shared" ca="1" si="22"/>
        <v>38009.851608043682</v>
      </c>
      <c r="L79" s="6">
        <f t="shared" ca="1" si="23"/>
        <v>55114.092606094047</v>
      </c>
      <c r="N79" s="9"/>
      <c r="O79" s="9"/>
      <c r="P79" s="9"/>
    </row>
    <row r="80" spans="1:16" x14ac:dyDescent="0.2">
      <c r="A80">
        <f t="shared" si="13"/>
        <v>79</v>
      </c>
      <c r="B80" s="5">
        <f t="shared" ca="1" si="17"/>
        <v>79</v>
      </c>
      <c r="C80" s="6">
        <f t="shared" ca="1" si="19"/>
        <v>595480.55572715506</v>
      </c>
      <c r="D80" s="20">
        <f t="shared" ca="1" si="18"/>
        <v>7.1762874559099243E-3</v>
      </c>
      <c r="E80" s="19">
        <f t="shared" ca="1" si="12"/>
        <v>6.0000000000000053E-2</v>
      </c>
      <c r="F80" s="9">
        <f t="shared" ca="1" si="14"/>
        <v>17864.843839439953</v>
      </c>
      <c r="G80" s="6">
        <f t="shared" ca="1" si="15"/>
        <v>17864.416671814652</v>
      </c>
      <c r="H80" s="6">
        <f t="shared" ca="1" si="16"/>
        <v>16077.975004633186</v>
      </c>
      <c r="I80" s="9">
        <f t="shared" ca="1" si="20"/>
        <v>0.42716762530108099</v>
      </c>
      <c r="J80" s="6">
        <f t="shared" ca="1" si="21"/>
        <v>35728.807713571819</v>
      </c>
      <c r="K80" s="9">
        <f t="shared" ca="1" si="22"/>
        <v>35729.234881197117</v>
      </c>
      <c r="L80" s="6">
        <f t="shared" ca="1" si="23"/>
        <v>51807.209885830307</v>
      </c>
      <c r="N80" s="9"/>
      <c r="O80" s="9"/>
      <c r="P80" s="9"/>
    </row>
    <row r="81" spans="1:16" x14ac:dyDescent="0.2">
      <c r="A81">
        <f t="shared" si="13"/>
        <v>80</v>
      </c>
      <c r="B81" s="5">
        <f t="shared" ca="1" si="17"/>
        <v>80</v>
      </c>
      <c r="C81" s="6">
        <f t="shared" ca="1" si="19"/>
        <v>559751.32084595796</v>
      </c>
      <c r="D81" s="20">
        <f t="shared" ca="1" si="18"/>
        <v>7.1762874559099243E-3</v>
      </c>
      <c r="E81" s="19">
        <f t="shared" ca="1" si="12"/>
        <v>6.0000000000000053E-2</v>
      </c>
      <c r="F81" s="9">
        <f t="shared" ca="1" si="14"/>
        <v>16792.941162658477</v>
      </c>
      <c r="G81" s="6">
        <f t="shared" ca="1" si="15"/>
        <v>16792.539625378737</v>
      </c>
      <c r="H81" s="6">
        <f t="shared" ca="1" si="16"/>
        <v>15113.285662840864</v>
      </c>
      <c r="I81" s="9">
        <f t="shared" ca="1" si="20"/>
        <v>0.40153727974029607</v>
      </c>
      <c r="J81" s="6">
        <f t="shared" ca="1" si="21"/>
        <v>33585.055158520721</v>
      </c>
      <c r="K81" s="9">
        <f t="shared" ca="1" si="22"/>
        <v>33585.456695800458</v>
      </c>
      <c r="L81" s="6">
        <f t="shared" ca="1" si="23"/>
        <v>48698.742358641321</v>
      </c>
      <c r="N81" s="9"/>
      <c r="O81" s="9"/>
      <c r="P81" s="9"/>
    </row>
    <row r="82" spans="1:16" x14ac:dyDescent="0.2">
      <c r="A82">
        <f t="shared" si="13"/>
        <v>81</v>
      </c>
      <c r="B82" s="5">
        <f t="shared" ca="1" si="17"/>
        <v>81</v>
      </c>
      <c r="C82" s="6">
        <f t="shared" ca="1" si="19"/>
        <v>526165.86415015755</v>
      </c>
      <c r="D82" s="20">
        <f t="shared" ca="1" si="18"/>
        <v>7.1762874559099243E-3</v>
      </c>
      <c r="E82" s="19">
        <f t="shared" ca="1" si="12"/>
        <v>6.0000000000000053E-2</v>
      </c>
      <c r="F82" s="9">
        <f t="shared" ca="1" si="14"/>
        <v>15785.35336927692</v>
      </c>
      <c r="G82" s="6">
        <f t="shared" ca="1" si="15"/>
        <v>15784.975924504726</v>
      </c>
      <c r="H82" s="6">
        <f t="shared" ca="1" si="16"/>
        <v>14206.478332054254</v>
      </c>
      <c r="I82" s="9">
        <f t="shared" ca="1" si="20"/>
        <v>0.37744477219348482</v>
      </c>
      <c r="J82" s="6">
        <f t="shared" ca="1" si="21"/>
        <v>31569.92920232315</v>
      </c>
      <c r="K82" s="9">
        <f t="shared" ca="1" si="22"/>
        <v>31570.306647095342</v>
      </c>
      <c r="L82" s="6">
        <f t="shared" ca="1" si="23"/>
        <v>45776.784979149597</v>
      </c>
      <c r="N82" s="9"/>
      <c r="O82" s="9"/>
      <c r="P82" s="9"/>
    </row>
    <row r="83" spans="1:16" x14ac:dyDescent="0.2">
      <c r="A83">
        <f t="shared" si="13"/>
        <v>82</v>
      </c>
      <c r="B83" s="5">
        <f t="shared" ca="1" si="17"/>
        <v>82</v>
      </c>
      <c r="C83" s="6">
        <f t="shared" ca="1" si="19"/>
        <v>494595.55750306218</v>
      </c>
      <c r="D83" s="20">
        <f t="shared" ca="1" si="18"/>
        <v>7.1762874559099243E-3</v>
      </c>
      <c r="E83" s="19">
        <f t="shared" ca="1" si="12"/>
        <v>6.0000000000000053E-2</v>
      </c>
      <c r="F83" s="9">
        <f t="shared" ca="1" si="14"/>
        <v>14838.221522923213</v>
      </c>
      <c r="G83" s="6">
        <f t="shared" ca="1" si="15"/>
        <v>14837.866725091864</v>
      </c>
      <c r="H83" s="6">
        <f t="shared" ca="1" si="16"/>
        <v>13354.080052582678</v>
      </c>
      <c r="I83" s="9">
        <f t="shared" ca="1" si="20"/>
        <v>0.35479783134906029</v>
      </c>
      <c r="J83" s="6">
        <f t="shared" ca="1" si="21"/>
        <v>29675.712162313877</v>
      </c>
      <c r="K83" s="9">
        <f t="shared" ca="1" si="22"/>
        <v>29676.066960145225</v>
      </c>
      <c r="L83" s="6">
        <f t="shared" ca="1" si="23"/>
        <v>43030.147012727903</v>
      </c>
      <c r="N83" s="9"/>
      <c r="O83" s="9"/>
      <c r="P83" s="9"/>
    </row>
    <row r="84" spans="1:16" x14ac:dyDescent="0.2">
      <c r="A84">
        <f t="shared" si="13"/>
        <v>83</v>
      </c>
      <c r="B84" s="5">
        <f t="shared" ca="1" si="17"/>
        <v>83</v>
      </c>
      <c r="C84" s="6">
        <f t="shared" ca="1" si="19"/>
        <v>464919.49054291693</v>
      </c>
      <c r="D84" s="20">
        <f t="shared" ca="1" si="18"/>
        <v>7.1762874559099243E-3</v>
      </c>
      <c r="E84" s="19">
        <f t="shared" ca="1" si="12"/>
        <v>6.0000000000000053E-2</v>
      </c>
      <c r="F84" s="9">
        <f t="shared" ca="1" si="14"/>
        <v>13947.918226009731</v>
      </c>
      <c r="G84" s="6">
        <f t="shared" ca="1" si="15"/>
        <v>13947.584716287507</v>
      </c>
      <c r="H84" s="6">
        <f t="shared" ca="1" si="16"/>
        <v>12552.826244658758</v>
      </c>
      <c r="I84" s="9">
        <f t="shared" ca="1" si="20"/>
        <v>0.33350972222433484</v>
      </c>
      <c r="J84" s="6">
        <f t="shared" ca="1" si="21"/>
        <v>27895.149421991708</v>
      </c>
      <c r="K84" s="9">
        <f t="shared" ca="1" si="22"/>
        <v>27895.48293171393</v>
      </c>
      <c r="L84" s="6">
        <f t="shared" ca="1" si="23"/>
        <v>40448.309176372684</v>
      </c>
      <c r="N84" s="9"/>
      <c r="O84" s="9"/>
      <c r="P84" s="9"/>
    </row>
    <row r="85" spans="1:16" x14ac:dyDescent="0.2">
      <c r="A85">
        <f t="shared" si="13"/>
        <v>84</v>
      </c>
      <c r="B85" s="5">
        <f t="shared" ca="1" si="17"/>
        <v>84</v>
      </c>
      <c r="C85" s="6">
        <f t="shared" ca="1" si="19"/>
        <v>437024.00761120301</v>
      </c>
      <c r="D85" s="20">
        <f t="shared" ca="1" si="18"/>
        <v>7.1762874559099243E-3</v>
      </c>
      <c r="E85" s="19">
        <f t="shared" ca="1" si="12"/>
        <v>6.0000000000000053E-2</v>
      </c>
      <c r="F85" s="9">
        <f t="shared" ca="1" si="14"/>
        <v>13111.033727250093</v>
      </c>
      <c r="G85" s="6">
        <f t="shared" ca="1" si="15"/>
        <v>13110.720228336089</v>
      </c>
      <c r="H85" s="6">
        <f t="shared" ca="1" si="16"/>
        <v>11799.648205502481</v>
      </c>
      <c r="I85" s="9">
        <f t="shared" ca="1" si="20"/>
        <v>0.31349891400350316</v>
      </c>
      <c r="J85" s="6">
        <f t="shared" ca="1" si="21"/>
        <v>26221.421646737363</v>
      </c>
      <c r="K85" s="9">
        <f t="shared" ca="1" si="22"/>
        <v>26221.735145651364</v>
      </c>
      <c r="L85" s="6">
        <f t="shared" ca="1" si="23"/>
        <v>38021.383351153847</v>
      </c>
      <c r="N85" s="9"/>
      <c r="O85" s="9"/>
      <c r="P85" s="9"/>
    </row>
    <row r="86" spans="1:16" x14ac:dyDescent="0.2">
      <c r="A86">
        <f t="shared" si="13"/>
        <v>85</v>
      </c>
      <c r="B86" s="5">
        <f t="shared" ca="1" si="17"/>
        <v>85</v>
      </c>
      <c r="C86" s="6">
        <f t="shared" ca="1" si="19"/>
        <v>410802.27246555162</v>
      </c>
      <c r="D86" s="20">
        <f t="shared" ca="1" si="18"/>
        <v>7.1762874559099243E-3</v>
      </c>
      <c r="E86" s="19">
        <f t="shared" ca="1" si="12"/>
        <v>6.0000000000000053E-2</v>
      </c>
      <c r="F86" s="9">
        <f t="shared" ca="1" si="14"/>
        <v>12324.362862734315</v>
      </c>
      <c r="G86" s="6">
        <f t="shared" ca="1" si="15"/>
        <v>12324.068173966549</v>
      </c>
      <c r="H86" s="6">
        <f t="shared" ca="1" si="16"/>
        <v>11091.661356569894</v>
      </c>
      <c r="I86" s="9">
        <f t="shared" ca="1" si="20"/>
        <v>0.2946887677662744</v>
      </c>
      <c r="J86" s="6">
        <f t="shared" ca="1" si="21"/>
        <v>24648.118666607053</v>
      </c>
      <c r="K86" s="9">
        <f t="shared" ca="1" si="22"/>
        <v>24648.413355374818</v>
      </c>
      <c r="L86" s="6">
        <f t="shared" ca="1" si="23"/>
        <v>35740.074711944711</v>
      </c>
      <c r="N86" s="9"/>
      <c r="O86" s="9"/>
      <c r="P86" s="9"/>
    </row>
    <row r="87" spans="1:16" x14ac:dyDescent="0.2">
      <c r="A87">
        <f t="shared" si="13"/>
        <v>86</v>
      </c>
      <c r="B87" s="5">
        <f t="shared" ca="1" si="17"/>
        <v>86</v>
      </c>
      <c r="C87" s="6">
        <f t="shared" ca="1" si="19"/>
        <v>386153.8591101768</v>
      </c>
      <c r="D87" s="20">
        <f t="shared" ca="1" si="18"/>
        <v>7.1762874559099243E-3</v>
      </c>
      <c r="E87" s="19">
        <f t="shared" ca="1" si="12"/>
        <v>6.0000000000000053E-2</v>
      </c>
      <c r="F87" s="9">
        <f t="shared" ca="1" si="14"/>
        <v>11584.892780548293</v>
      </c>
      <c r="G87" s="6">
        <f t="shared" ca="1" si="15"/>
        <v>11584.615773305304</v>
      </c>
      <c r="H87" s="6">
        <f t="shared" ca="1" si="16"/>
        <v>10426.154195974774</v>
      </c>
      <c r="I87" s="9">
        <f t="shared" ca="1" si="20"/>
        <v>0.2770072429884749</v>
      </c>
      <c r="J87" s="6">
        <f t="shared" ca="1" si="21"/>
        <v>23169.214926176046</v>
      </c>
      <c r="K87" s="9">
        <f t="shared" ca="1" si="22"/>
        <v>23169.491933419034</v>
      </c>
      <c r="L87" s="6">
        <f t="shared" ca="1" si="23"/>
        <v>33595.646129393805</v>
      </c>
      <c r="N87" s="9"/>
      <c r="O87" s="9"/>
      <c r="P87" s="9"/>
    </row>
    <row r="88" spans="1:16" x14ac:dyDescent="0.2">
      <c r="A88">
        <f t="shared" si="13"/>
        <v>87</v>
      </c>
      <c r="B88" s="5">
        <f t="shared" ca="1" si="17"/>
        <v>87</v>
      </c>
      <c r="C88" s="6">
        <f t="shared" ca="1" si="19"/>
        <v>362984.36717675778</v>
      </c>
      <c r="D88" s="20">
        <f t="shared" ca="1" si="18"/>
        <v>7.1762874559099243E-3</v>
      </c>
      <c r="E88" s="19">
        <f t="shared" ca="1" si="12"/>
        <v>6.0000000000000053E-2</v>
      </c>
      <c r="F88" s="9">
        <f t="shared" ca="1" si="14"/>
        <v>10889.791401924356</v>
      </c>
      <c r="G88" s="6">
        <f t="shared" ca="1" si="15"/>
        <v>10889.531015302733</v>
      </c>
      <c r="H88" s="6">
        <f t="shared" ca="1" si="16"/>
        <v>9800.5779137724603</v>
      </c>
      <c r="I88" s="9">
        <f t="shared" ca="1" si="20"/>
        <v>0.2603866216231836</v>
      </c>
      <c r="J88" s="6">
        <f t="shared" ca="1" si="21"/>
        <v>21779.046407408186</v>
      </c>
      <c r="K88" s="9">
        <f t="shared" ca="1" si="22"/>
        <v>21779.30679402981</v>
      </c>
      <c r="L88" s="6">
        <f t="shared" ca="1" si="23"/>
        <v>31579.88470780227</v>
      </c>
      <c r="N88" s="9"/>
      <c r="O88" s="9"/>
      <c r="P88" s="9"/>
    </row>
    <row r="89" spans="1:16" x14ac:dyDescent="0.2">
      <c r="A89">
        <f t="shared" si="13"/>
        <v>88</v>
      </c>
      <c r="B89" s="5">
        <f t="shared" ca="1" si="17"/>
        <v>88</v>
      </c>
      <c r="C89" s="6">
        <f t="shared" ca="1" si="19"/>
        <v>341205.06038272794</v>
      </c>
      <c r="D89" s="20">
        <f t="shared" ca="1" si="18"/>
        <v>7.1762874559099243E-3</v>
      </c>
      <c r="E89" s="19">
        <f t="shared" ca="1" si="12"/>
        <v>6.0000000000000053E-2</v>
      </c>
      <c r="F89" s="9">
        <f t="shared" ca="1" si="14"/>
        <v>10236.396574730583</v>
      </c>
      <c r="G89" s="6">
        <f t="shared" ca="1" si="15"/>
        <v>10236.151811481837</v>
      </c>
      <c r="H89" s="6">
        <f t="shared" ca="1" si="16"/>
        <v>9212.5366303336541</v>
      </c>
      <c r="I89" s="9">
        <f t="shared" ca="1" si="20"/>
        <v>0.24476324874558486</v>
      </c>
      <c r="J89" s="6">
        <f t="shared" ca="1" si="21"/>
        <v>20472.288937168767</v>
      </c>
      <c r="K89" s="9">
        <f t="shared" ca="1" si="22"/>
        <v>20472.533700417513</v>
      </c>
      <c r="L89" s="6">
        <f t="shared" ca="1" si="23"/>
        <v>29685.070330751165</v>
      </c>
      <c r="N89" s="9"/>
      <c r="O89" s="9"/>
      <c r="P89" s="9"/>
    </row>
    <row r="90" spans="1:16" x14ac:dyDescent="0.2">
      <c r="A90">
        <f t="shared" si="13"/>
        <v>89</v>
      </c>
      <c r="B90" s="5">
        <f t="shared" ca="1" si="17"/>
        <v>89</v>
      </c>
      <c r="C90" s="6">
        <f t="shared" ca="1" si="19"/>
        <v>320732.52668231045</v>
      </c>
      <c r="D90" s="20">
        <f t="shared" ca="1" si="18"/>
        <v>7.1762874559099243E-3</v>
      </c>
      <c r="E90" s="19">
        <f t="shared" ca="1" si="12"/>
        <v>6.0000000000000053E-2</v>
      </c>
      <c r="F90" s="9">
        <f t="shared" ca="1" si="14"/>
        <v>9622.205877758086</v>
      </c>
      <c r="G90" s="6">
        <f t="shared" ca="1" si="15"/>
        <v>9621.9758004693122</v>
      </c>
      <c r="H90" s="6">
        <f t="shared" ca="1" si="16"/>
        <v>8659.7782204223822</v>
      </c>
      <c r="I90" s="9">
        <f t="shared" ca="1" si="20"/>
        <v>0.2300772887738276</v>
      </c>
      <c r="J90" s="6">
        <f t="shared" ca="1" si="21"/>
        <v>19243.937796301318</v>
      </c>
      <c r="K90" s="9">
        <f t="shared" ca="1" si="22"/>
        <v>19244.167873590093</v>
      </c>
      <c r="L90" s="6">
        <f t="shared" ca="1" si="23"/>
        <v>27903.946094012477</v>
      </c>
      <c r="N90" s="9"/>
      <c r="O90" s="9"/>
      <c r="P90" s="9"/>
    </row>
    <row r="91" spans="1:16" x14ac:dyDescent="0.2">
      <c r="A91">
        <f t="shared" si="13"/>
        <v>90</v>
      </c>
      <c r="B91" s="5">
        <f t="shared" ca="1" si="17"/>
        <v>90</v>
      </c>
      <c r="C91" s="6">
        <f t="shared" ca="1" si="19"/>
        <v>301488.35880872037</v>
      </c>
      <c r="D91" s="20">
        <f t="shared" ca="1" si="18"/>
        <v>7.1762874559099243E-3</v>
      </c>
      <c r="E91" s="19">
        <f t="shared" ca="1" si="12"/>
        <v>6.0000000000000053E-2</v>
      </c>
      <c r="F91" s="9">
        <f t="shared" ca="1" si="14"/>
        <v>9044.8670367579161</v>
      </c>
      <c r="G91" s="6">
        <f t="shared" ca="1" si="15"/>
        <v>9044.6507642616107</v>
      </c>
      <c r="H91" s="6">
        <f t="shared" ca="1" si="16"/>
        <v>8140.1856878354502</v>
      </c>
      <c r="I91" s="9">
        <f t="shared" ca="1" si="20"/>
        <v>0.2162724963054643</v>
      </c>
      <c r="J91" s="6">
        <f t="shared" ca="1" si="21"/>
        <v>18089.288552173457</v>
      </c>
      <c r="K91" s="9">
        <f t="shared" ca="1" si="22"/>
        <v>18089.504824669762</v>
      </c>
      <c r="L91" s="6">
        <f t="shared" ca="1" si="23"/>
        <v>26229.690512505214</v>
      </c>
      <c r="N91" s="9"/>
      <c r="O91" s="9"/>
      <c r="P91" s="9"/>
    </row>
    <row r="92" spans="1:16" x14ac:dyDescent="0.2">
      <c r="A92">
        <f t="shared" si="13"/>
        <v>91</v>
      </c>
      <c r="B92" s="5">
        <f t="shared" ca="1" si="17"/>
        <v>91</v>
      </c>
      <c r="C92" s="6">
        <f t="shared" ca="1" si="19"/>
        <v>283398.85398405063</v>
      </c>
      <c r="D92" s="20">
        <f t="shared" ca="1" si="18"/>
        <v>7.1762874559099243E-3</v>
      </c>
      <c r="E92" s="19">
        <f t="shared" ca="1" si="12"/>
        <v>6.0000000000000053E-2</v>
      </c>
      <c r="F92" s="9">
        <f t="shared" ca="1" si="14"/>
        <v>8502.1689155222102</v>
      </c>
      <c r="G92" s="6">
        <f t="shared" ca="1" si="15"/>
        <v>8501.9656195215193</v>
      </c>
      <c r="H92" s="6">
        <f t="shared" ca="1" si="16"/>
        <v>7651.7690575693669</v>
      </c>
      <c r="I92" s="9">
        <f t="shared" ca="1" si="20"/>
        <v>0.20329600069089793</v>
      </c>
      <c r="J92" s="6">
        <f t="shared" ca="1" si="21"/>
        <v>17003.919041283014</v>
      </c>
      <c r="K92" s="9">
        <f t="shared" ca="1" si="22"/>
        <v>17004.122337283705</v>
      </c>
      <c r="L92" s="6">
        <f t="shared" ca="1" si="23"/>
        <v>24655.891394853072</v>
      </c>
      <c r="N92" s="9"/>
      <c r="O92" s="9"/>
      <c r="P92" s="9"/>
    </row>
    <row r="93" spans="1:16" x14ac:dyDescent="0.2">
      <c r="A93">
        <f t="shared" si="13"/>
        <v>92</v>
      </c>
      <c r="B93" s="5">
        <f t="shared" ca="1" si="17"/>
        <v>92</v>
      </c>
      <c r="C93" s="6">
        <f t="shared" ca="1" si="19"/>
        <v>266394.73164676694</v>
      </c>
      <c r="D93" s="20">
        <f t="shared" ca="1" si="18"/>
        <v>7.1762874559099243E-3</v>
      </c>
      <c r="E93" s="19">
        <f t="shared" ca="1" si="12"/>
        <v>6.0000000000000053E-2</v>
      </c>
      <c r="F93" s="9">
        <f t="shared" ca="1" si="14"/>
        <v>7992.0330475065748</v>
      </c>
      <c r="G93" s="6">
        <f t="shared" ca="1" si="15"/>
        <v>7991.8419494030077</v>
      </c>
      <c r="H93" s="6">
        <f t="shared" ca="1" si="16"/>
        <v>7192.6577544627071</v>
      </c>
      <c r="I93" s="9">
        <f t="shared" ca="1" si="20"/>
        <v>0.19109810356712842</v>
      </c>
      <c r="J93" s="6">
        <f t="shared" ca="1" si="21"/>
        <v>15983.672432919815</v>
      </c>
      <c r="K93" s="9">
        <f t="shared" ca="1" si="22"/>
        <v>15983.863531023382</v>
      </c>
      <c r="L93" s="6">
        <f t="shared" ca="1" si="23"/>
        <v>23176.521285486087</v>
      </c>
      <c r="N93" s="9"/>
      <c r="O93" s="9"/>
      <c r="P93" s="9"/>
    </row>
    <row r="94" spans="1:16" x14ac:dyDescent="0.2">
      <c r="A94">
        <f t="shared" si="13"/>
        <v>93</v>
      </c>
      <c r="B94" s="5">
        <f t="shared" ca="1" si="17"/>
        <v>93</v>
      </c>
      <c r="C94" s="6">
        <f t="shared" ca="1" si="19"/>
        <v>250410.86811574356</v>
      </c>
      <c r="D94" s="20">
        <f t="shared" ca="1" si="18"/>
        <v>7.1762874559099243E-3</v>
      </c>
      <c r="E94" s="19">
        <f t="shared" ca="1" si="12"/>
        <v>6.0000000000000053E-2</v>
      </c>
      <c r="F94" s="9">
        <f t="shared" ca="1" si="14"/>
        <v>7512.5056755607993</v>
      </c>
      <c r="G94" s="6">
        <f t="shared" ca="1" si="15"/>
        <v>7512.326043472307</v>
      </c>
      <c r="H94" s="6">
        <f t="shared" ca="1" si="16"/>
        <v>6761.0934391250757</v>
      </c>
      <c r="I94" s="9">
        <f t="shared" ca="1" si="20"/>
        <v>0.17963208849232615</v>
      </c>
      <c r="J94" s="6">
        <f t="shared" ca="1" si="21"/>
        <v>15024.641309019318</v>
      </c>
      <c r="K94" s="9">
        <f t="shared" ca="1" si="22"/>
        <v>15024.82094110781</v>
      </c>
      <c r="L94" s="6">
        <f t="shared" ca="1" si="23"/>
        <v>21785.914380232884</v>
      </c>
      <c r="N94" s="9"/>
      <c r="O94" s="9"/>
      <c r="P94" s="9"/>
    </row>
    <row r="95" spans="1:16" x14ac:dyDescent="0.2">
      <c r="A95">
        <f t="shared" si="13"/>
        <v>94</v>
      </c>
      <c r="B95" s="5">
        <f t="shared" ca="1" si="17"/>
        <v>94</v>
      </c>
      <c r="C95" s="6">
        <f t="shared" ca="1" si="19"/>
        <v>235386.04717463575</v>
      </c>
      <c r="D95" s="20">
        <f t="shared" ca="1" si="18"/>
        <v>7.1762874559099243E-3</v>
      </c>
      <c r="E95" s="19">
        <f t="shared" ca="1" si="12"/>
        <v>6.0000000000000053E-2</v>
      </c>
      <c r="F95" s="9">
        <f t="shared" ca="1" si="14"/>
        <v>7061.7502692811277</v>
      </c>
      <c r="G95" s="6">
        <f t="shared" ca="1" si="15"/>
        <v>7061.5814152390722</v>
      </c>
      <c r="H95" s="6">
        <f t="shared" ca="1" si="16"/>
        <v>6355.4232737151651</v>
      </c>
      <c r="I95" s="9">
        <f t="shared" ca="1" si="20"/>
        <v>0.16885404205550003</v>
      </c>
      <c r="J95" s="6">
        <f t="shared" ca="1" si="21"/>
        <v>14123.152699235636</v>
      </c>
      <c r="K95" s="9">
        <f t="shared" ca="1" si="22"/>
        <v>14123.321553277692</v>
      </c>
      <c r="L95" s="6">
        <f t="shared" ca="1" si="23"/>
        <v>20478.744826992857</v>
      </c>
      <c r="N95" s="9"/>
      <c r="O95" s="9"/>
      <c r="P95" s="9"/>
    </row>
    <row r="96" spans="1:16" x14ac:dyDescent="0.2">
      <c r="A96">
        <f t="shared" si="13"/>
        <v>95</v>
      </c>
      <c r="B96" s="5">
        <f t="shared" ca="1" si="17"/>
        <v>95</v>
      </c>
      <c r="C96" s="6">
        <f t="shared" ca="1" si="19"/>
        <v>221262.72562135805</v>
      </c>
      <c r="D96" s="20">
        <f t="shared" ca="1" si="18"/>
        <v>7.1762874559099243E-3</v>
      </c>
      <c r="E96" s="19">
        <f t="shared" ca="1" si="12"/>
        <v>6.0000000000000053E-2</v>
      </c>
      <c r="F96" s="9">
        <f t="shared" ca="1" si="14"/>
        <v>6638.0404913264138</v>
      </c>
      <c r="G96" s="6">
        <f t="shared" ca="1" si="15"/>
        <v>6637.881768640741</v>
      </c>
      <c r="H96" s="6">
        <f t="shared" ca="1" si="16"/>
        <v>5974.0935917766674</v>
      </c>
      <c r="I96" s="9">
        <f t="shared" ca="1" si="20"/>
        <v>0.1587226856727284</v>
      </c>
      <c r="J96" s="6">
        <f t="shared" ca="1" si="21"/>
        <v>13275.754013920354</v>
      </c>
      <c r="K96" s="9">
        <f t="shared" ca="1" si="22"/>
        <v>13275.912736606027</v>
      </c>
      <c r="L96" s="6">
        <f t="shared" ca="1" si="23"/>
        <v>19250.006328382697</v>
      </c>
      <c r="N96" s="9"/>
      <c r="O96" s="9"/>
      <c r="P96" s="9"/>
    </row>
    <row r="97" spans="1:16" x14ac:dyDescent="0.2">
      <c r="A97">
        <f t="shared" si="13"/>
        <v>96</v>
      </c>
      <c r="B97" s="5">
        <f t="shared" ca="1" si="17"/>
        <v>96</v>
      </c>
      <c r="C97" s="6">
        <f t="shared" ca="1" si="19"/>
        <v>207986.81288475203</v>
      </c>
      <c r="D97" s="20">
        <f t="shared" ca="1" si="18"/>
        <v>7.1762874559099243E-3</v>
      </c>
      <c r="E97" s="19">
        <f t="shared" ref="E97:E160" ca="1" si="24">IFERROR(E96,0)</f>
        <v>6.0000000000000053E-2</v>
      </c>
      <c r="F97" s="9">
        <f t="shared" ca="1" si="14"/>
        <v>6239.7535857600651</v>
      </c>
      <c r="G97" s="6">
        <f t="shared" ca="1" si="15"/>
        <v>6239.6043865425609</v>
      </c>
      <c r="H97" s="6">
        <f t="shared" ca="1" si="16"/>
        <v>5615.6439478883049</v>
      </c>
      <c r="I97" s="9">
        <f t="shared" ca="1" si="20"/>
        <v>0.14919921750424692</v>
      </c>
      <c r="J97" s="6">
        <f t="shared" ca="1" si="21"/>
        <v>12479.199821132082</v>
      </c>
      <c r="K97" s="9">
        <f t="shared" ca="1" si="22"/>
        <v>12479.349020349586</v>
      </c>
      <c r="L97" s="6">
        <f t="shared" ca="1" si="23"/>
        <v>18094.99296823789</v>
      </c>
      <c r="N97" s="9"/>
      <c r="O97" s="9"/>
      <c r="P97" s="9"/>
    </row>
    <row r="98" spans="1:16" x14ac:dyDescent="0.2">
      <c r="A98">
        <f t="shared" si="13"/>
        <v>97</v>
      </c>
      <c r="B98" s="5">
        <f t="shared" ca="1" si="17"/>
        <v>97</v>
      </c>
      <c r="C98" s="6">
        <f t="shared" ca="1" si="19"/>
        <v>195507.46386440244</v>
      </c>
      <c r="D98" s="20">
        <f t="shared" ca="1" si="18"/>
        <v>7.1762874559099243E-3</v>
      </c>
      <c r="E98" s="19">
        <f t="shared" ca="1" si="24"/>
        <v>6.0000000000000053E-2</v>
      </c>
      <c r="F98" s="9">
        <f t="shared" ca="1" si="14"/>
        <v>5865.36416309592</v>
      </c>
      <c r="G98" s="6">
        <f t="shared" ca="1" si="15"/>
        <v>5865.2239159320725</v>
      </c>
      <c r="H98" s="6">
        <f t="shared" ca="1" si="16"/>
        <v>5278.701524338866</v>
      </c>
      <c r="I98" s="9">
        <f t="shared" ca="1" si="20"/>
        <v>0.14024716384756175</v>
      </c>
      <c r="J98" s="6">
        <f t="shared" ca="1" si="21"/>
        <v>11730.439417034326</v>
      </c>
      <c r="K98" s="9">
        <f t="shared" ca="1" si="22"/>
        <v>11730.579664198172</v>
      </c>
      <c r="L98" s="6">
        <f t="shared" ca="1" si="23"/>
        <v>17009.281188537039</v>
      </c>
      <c r="N98" s="9"/>
      <c r="O98" s="9"/>
      <c r="P98" s="9"/>
    </row>
    <row r="99" spans="1:16" x14ac:dyDescent="0.2">
      <c r="A99">
        <f t="shared" si="13"/>
        <v>98</v>
      </c>
      <c r="B99" s="5">
        <f t="shared" ca="1" si="17"/>
        <v>98</v>
      </c>
      <c r="C99" s="6">
        <f t="shared" ca="1" si="19"/>
        <v>183776.88420020428</v>
      </c>
      <c r="D99" s="20">
        <f t="shared" ca="1" si="18"/>
        <v>7.1762874559099243E-3</v>
      </c>
      <c r="E99" s="19">
        <f t="shared" ca="1" si="24"/>
        <v>6.0000000000000053E-2</v>
      </c>
      <c r="F99" s="9">
        <f t="shared" ca="1" si="14"/>
        <v>5513.4383582455757</v>
      </c>
      <c r="G99" s="6">
        <f t="shared" ca="1" si="15"/>
        <v>5513.3065260061285</v>
      </c>
      <c r="H99" s="6">
        <f t="shared" ca="1" si="16"/>
        <v>4961.9758734055158</v>
      </c>
      <c r="I99" s="9">
        <f t="shared" ca="1" si="20"/>
        <v>0.13183223944724887</v>
      </c>
      <c r="J99" s="6">
        <f t="shared" ca="1" si="21"/>
        <v>11026.6051420779</v>
      </c>
      <c r="K99" s="9">
        <f t="shared" ca="1" si="22"/>
        <v>11026.736974317348</v>
      </c>
      <c r="L99" s="6">
        <f t="shared" ca="1" si="23"/>
        <v>15988.712847722863</v>
      </c>
      <c r="N99" s="9"/>
      <c r="O99" s="9"/>
      <c r="P99" s="9"/>
    </row>
    <row r="100" spans="1:16" x14ac:dyDescent="0.2">
      <c r="A100">
        <f t="shared" si="13"/>
        <v>99</v>
      </c>
      <c r="B100" s="5">
        <f t="shared" ca="1" si="17"/>
        <v>99</v>
      </c>
      <c r="C100" s="6">
        <f t="shared" ca="1" si="19"/>
        <v>172750.14722588693</v>
      </c>
      <c r="D100" s="20">
        <f t="shared" ca="1" si="18"/>
        <v>7.1762874559099243E-3</v>
      </c>
      <c r="E100" s="19">
        <f t="shared" ca="1" si="24"/>
        <v>6.0000000000000053E-2</v>
      </c>
      <c r="F100" s="9">
        <f t="shared" ca="1" si="14"/>
        <v>5182.6283389927921</v>
      </c>
      <c r="G100" s="6">
        <f t="shared" ca="1" si="15"/>
        <v>5182.5044167766082</v>
      </c>
      <c r="H100" s="6">
        <f t="shared" ca="1" si="16"/>
        <v>4664.2539750989472</v>
      </c>
      <c r="I100" s="9">
        <f t="shared" ca="1" si="20"/>
        <v>0.12392221618392796</v>
      </c>
      <c r="J100" s="6">
        <f t="shared" ca="1" si="21"/>
        <v>10365.001398220254</v>
      </c>
      <c r="K100" s="9">
        <f t="shared" ca="1" si="22"/>
        <v>10365.125320436438</v>
      </c>
      <c r="L100" s="6">
        <f t="shared" ca="1" si="23"/>
        <v>15029.379295535386</v>
      </c>
      <c r="N100" s="9"/>
      <c r="O100" s="9"/>
      <c r="P100" s="9"/>
    </row>
    <row r="101" spans="1:16" x14ac:dyDescent="0.2">
      <c r="A101">
        <f t="shared" si="13"/>
        <v>100</v>
      </c>
      <c r="B101" s="5">
        <f t="shared" ca="1" si="17"/>
        <v>100</v>
      </c>
      <c r="C101" s="6">
        <f t="shared" ca="1" si="19"/>
        <v>162385.0219054505</v>
      </c>
      <c r="D101" s="20">
        <f t="shared" ca="1" si="18"/>
        <v>7.1762874559099243E-3</v>
      </c>
      <c r="E101" s="19">
        <f t="shared" ca="1" si="24"/>
        <v>6.0000000000000053E-2</v>
      </c>
      <c r="F101" s="9">
        <f t="shared" ca="1" si="14"/>
        <v>4871.6671439631664</v>
      </c>
      <c r="G101" s="6">
        <f t="shared" ca="1" si="15"/>
        <v>4871.5506571635151</v>
      </c>
      <c r="H101" s="6">
        <f t="shared" ca="1" si="16"/>
        <v>4384.3955914471635</v>
      </c>
      <c r="I101" s="9">
        <f t="shared" ca="1" si="20"/>
        <v>0.11648679965128395</v>
      </c>
      <c r="J101" s="6">
        <f t="shared" ca="1" si="21"/>
        <v>9743.0943251190602</v>
      </c>
      <c r="K101" s="9">
        <f t="shared" ca="1" si="22"/>
        <v>9743.2108119187105</v>
      </c>
      <c r="L101" s="6">
        <f t="shared" ca="1" si="23"/>
        <v>14127.606403365873</v>
      </c>
      <c r="N101" s="9"/>
      <c r="O101" s="9"/>
      <c r="P101" s="9"/>
    </row>
    <row r="102" spans="1:16" x14ac:dyDescent="0.2">
      <c r="A102">
        <f t="shared" si="13"/>
        <v>101</v>
      </c>
      <c r="B102" s="5">
        <f t="shared" ca="1" si="17"/>
        <v>101</v>
      </c>
      <c r="C102" s="6">
        <f t="shared" ca="1" si="19"/>
        <v>152641.81109353178</v>
      </c>
      <c r="D102" s="20">
        <f t="shared" ca="1" si="18"/>
        <v>7.1762874559099243E-3</v>
      </c>
      <c r="E102" s="19">
        <f t="shared" ca="1" si="24"/>
        <v>6.0000000000000053E-2</v>
      </c>
      <c r="F102" s="9">
        <f t="shared" ca="1" si="14"/>
        <v>4579.3638303190783</v>
      </c>
      <c r="G102" s="6">
        <f t="shared" ca="1" si="15"/>
        <v>4579.2543328059537</v>
      </c>
      <c r="H102" s="6">
        <f t="shared" ca="1" si="16"/>
        <v>4121.3288995253579</v>
      </c>
      <c r="I102" s="9">
        <f t="shared" ca="1" si="20"/>
        <v>0.10949751312455192</v>
      </c>
      <c r="J102" s="6">
        <f t="shared" ca="1" si="21"/>
        <v>9158.5020957611268</v>
      </c>
      <c r="K102" s="9">
        <f t="shared" ca="1" si="22"/>
        <v>9158.6115932742505</v>
      </c>
      <c r="L102" s="6">
        <f t="shared" ca="1" si="23"/>
        <v>13279.940492799607</v>
      </c>
      <c r="N102" s="9"/>
      <c r="O102" s="9"/>
      <c r="P102" s="9"/>
    </row>
    <row r="103" spans="1:16" x14ac:dyDescent="0.2">
      <c r="A103">
        <f t="shared" si="13"/>
        <v>102</v>
      </c>
      <c r="B103" s="5">
        <f t="shared" ca="1" si="17"/>
        <v>102</v>
      </c>
      <c r="C103" s="6">
        <f t="shared" ca="1" si="19"/>
        <v>143483.19950025753</v>
      </c>
      <c r="D103" s="20">
        <f t="shared" ca="1" si="18"/>
        <v>7.1762874559099243E-3</v>
      </c>
      <c r="E103" s="19">
        <f t="shared" ca="1" si="24"/>
        <v>6.0000000000000053E-2</v>
      </c>
      <c r="F103" s="9">
        <f t="shared" ca="1" si="14"/>
        <v>4304.5989125962278</v>
      </c>
      <c r="G103" s="6">
        <f t="shared" ca="1" si="15"/>
        <v>4304.4959850077257</v>
      </c>
      <c r="H103" s="6">
        <f t="shared" ca="1" si="16"/>
        <v>3874.0463865069532</v>
      </c>
      <c r="I103" s="9">
        <f t="shared" ca="1" si="20"/>
        <v>0.10292758850209793</v>
      </c>
      <c r="J103" s="6">
        <f t="shared" ca="1" si="21"/>
        <v>8608.9857943601492</v>
      </c>
      <c r="K103" s="9">
        <f t="shared" ca="1" si="22"/>
        <v>8609.0887219486503</v>
      </c>
      <c r="L103" s="6">
        <f t="shared" ca="1" si="23"/>
        <v>12483.135108455604</v>
      </c>
      <c r="N103" s="9"/>
      <c r="O103" s="9"/>
      <c r="P103" s="9"/>
    </row>
    <row r="104" spans="1:16" x14ac:dyDescent="0.2">
      <c r="A104">
        <f t="shared" si="13"/>
        <v>103</v>
      </c>
      <c r="B104" s="5">
        <f t="shared" ca="1" si="17"/>
        <v>103</v>
      </c>
      <c r="C104" s="6">
        <f t="shared" ca="1" si="19"/>
        <v>134874.11077830888</v>
      </c>
      <c r="D104" s="20">
        <f t="shared" ca="1" si="18"/>
        <v>7.1762874559099243E-3</v>
      </c>
      <c r="E104" s="19">
        <f t="shared" ca="1" si="24"/>
        <v>6.0000000000000053E-2</v>
      </c>
      <c r="F104" s="9">
        <f t="shared" ca="1" si="14"/>
        <v>4046.3200752130533</v>
      </c>
      <c r="G104" s="6">
        <f t="shared" ca="1" si="15"/>
        <v>4046.2233233492661</v>
      </c>
      <c r="H104" s="6">
        <f t="shared" ca="1" si="16"/>
        <v>3641.6009910143398</v>
      </c>
      <c r="I104" s="9">
        <f t="shared" ca="1" si="20"/>
        <v>9.6751863787176262E-2</v>
      </c>
      <c r="J104" s="6">
        <f t="shared" ca="1" si="21"/>
        <v>8092.4408415867138</v>
      </c>
      <c r="K104" s="9">
        <f t="shared" ca="1" si="22"/>
        <v>8092.5375934505009</v>
      </c>
      <c r="L104" s="6">
        <f t="shared" ca="1" si="23"/>
        <v>11734.138584464841</v>
      </c>
      <c r="N104" s="9"/>
      <c r="O104" s="9"/>
      <c r="P104" s="9"/>
    </row>
    <row r="105" spans="1:16" x14ac:dyDescent="0.2">
      <c r="A105">
        <f t="shared" si="13"/>
        <v>104</v>
      </c>
      <c r="B105" s="5">
        <f t="shared" ca="1" si="17"/>
        <v>104</v>
      </c>
      <c r="C105" s="6">
        <f t="shared" ca="1" si="19"/>
        <v>126781.57318485838</v>
      </c>
      <c r="D105" s="20">
        <f t="shared" ca="1" si="18"/>
        <v>7.1762874559099243E-3</v>
      </c>
      <c r="E105" s="19">
        <f t="shared" ca="1" si="24"/>
        <v>6.0000000000000053E-2</v>
      </c>
      <c r="F105" s="9">
        <f t="shared" ca="1" si="14"/>
        <v>3803.5381422324704</v>
      </c>
      <c r="G105" s="6">
        <f t="shared" ca="1" si="15"/>
        <v>3803.4471955457511</v>
      </c>
      <c r="H105" s="6">
        <f t="shared" ca="1" si="16"/>
        <v>3423.1024759911761</v>
      </c>
      <c r="I105" s="9">
        <f t="shared" ca="1" si="20"/>
        <v>9.0946686719235004E-2</v>
      </c>
      <c r="J105" s="6">
        <f t="shared" ca="1" si="21"/>
        <v>7606.8889342903067</v>
      </c>
      <c r="K105" s="9">
        <f t="shared" ca="1" si="22"/>
        <v>7606.9798809770255</v>
      </c>
      <c r="L105" s="6">
        <f t="shared" ca="1" si="23"/>
        <v>11030.082356968202</v>
      </c>
      <c r="N105" s="9"/>
      <c r="O105" s="9"/>
      <c r="P105" s="9"/>
    </row>
    <row r="106" spans="1:16" x14ac:dyDescent="0.2">
      <c r="A106">
        <f t="shared" si="13"/>
        <v>105</v>
      </c>
      <c r="B106" s="5">
        <f t="shared" ca="1" si="17"/>
        <v>105</v>
      </c>
      <c r="C106" s="6">
        <f t="shared" ca="1" si="19"/>
        <v>119174.59330388135</v>
      </c>
      <c r="D106" s="20">
        <f t="shared" ca="1" si="18"/>
        <v>7.1762874559099243E-3</v>
      </c>
      <c r="E106" s="19">
        <f t="shared" ca="1" si="24"/>
        <v>6.0000000000000053E-2</v>
      </c>
      <c r="F106" s="9">
        <f t="shared" ca="1" si="14"/>
        <v>3575.3232889406304</v>
      </c>
      <c r="G106" s="6">
        <f t="shared" ca="1" si="15"/>
        <v>3575.2377991164403</v>
      </c>
      <c r="H106" s="6">
        <f t="shared" ca="1" si="16"/>
        <v>3217.7140192047964</v>
      </c>
      <c r="I106" s="9">
        <f t="shared" ca="1" si="20"/>
        <v>8.5489824190062791E-2</v>
      </c>
      <c r="J106" s="6">
        <f t="shared" ca="1" si="21"/>
        <v>7150.4704688434358</v>
      </c>
      <c r="K106" s="9">
        <f t="shared" ca="1" si="22"/>
        <v>7150.5559586676263</v>
      </c>
      <c r="L106" s="6">
        <f t="shared" ca="1" si="23"/>
        <v>10368.269977872424</v>
      </c>
      <c r="N106" s="9"/>
      <c r="O106" s="9"/>
      <c r="P106" s="9"/>
    </row>
    <row r="107" spans="1:16" x14ac:dyDescent="0.2">
      <c r="A107">
        <f t="shared" si="13"/>
        <v>106</v>
      </c>
      <c r="B107" s="5">
        <f t="shared" ca="1" si="17"/>
        <v>106</v>
      </c>
      <c r="C107" s="6">
        <f t="shared" ca="1" si="19"/>
        <v>112024.03734521373</v>
      </c>
      <c r="D107" s="20">
        <f t="shared" ca="1" si="18"/>
        <v>7.1762874559099243E-3</v>
      </c>
      <c r="E107" s="19">
        <f t="shared" ca="1" si="24"/>
        <v>6.0000000000000053E-2</v>
      </c>
      <c r="F107" s="9">
        <f t="shared" ca="1" si="14"/>
        <v>3360.8014807335039</v>
      </c>
      <c r="G107" s="6">
        <f t="shared" ca="1" si="15"/>
        <v>3360.7211203564116</v>
      </c>
      <c r="H107" s="6">
        <f t="shared" ca="1" si="16"/>
        <v>3024.6490083207705</v>
      </c>
      <c r="I107" s="9">
        <f t="shared" ca="1" si="20"/>
        <v>8.0360377092347335E-2</v>
      </c>
      <c r="J107" s="6">
        <f t="shared" ca="1" si="21"/>
        <v>6721.4374190902045</v>
      </c>
      <c r="K107" s="9">
        <f t="shared" ca="1" si="22"/>
        <v>6721.5177794672964</v>
      </c>
      <c r="L107" s="6">
        <f t="shared" ca="1" si="23"/>
        <v>9746.1667877880664</v>
      </c>
      <c r="N107" s="9"/>
      <c r="O107" s="9"/>
      <c r="P107" s="9"/>
    </row>
    <row r="108" spans="1:16" x14ac:dyDescent="0.2">
      <c r="A108">
        <f t="shared" si="13"/>
        <v>107</v>
      </c>
      <c r="B108" s="5">
        <f t="shared" ca="1" si="17"/>
        <v>107</v>
      </c>
      <c r="C108" s="6">
        <f t="shared" ca="1" si="19"/>
        <v>105302.51956574644</v>
      </c>
      <c r="D108" s="20">
        <f t="shared" ca="1" si="18"/>
        <v>7.1762874559099243E-3</v>
      </c>
      <c r="E108" s="19">
        <f t="shared" ca="1" si="24"/>
        <v>6.0000000000000053E-2</v>
      </c>
      <c r="F108" s="9">
        <f t="shared" ca="1" si="14"/>
        <v>3159.1511256726717</v>
      </c>
      <c r="G108" s="6">
        <f t="shared" ca="1" si="15"/>
        <v>3159.075586972393</v>
      </c>
      <c r="H108" s="6">
        <f t="shared" ca="1" si="16"/>
        <v>2843.1680282751536</v>
      </c>
      <c r="I108" s="9">
        <f t="shared" ca="1" si="20"/>
        <v>7.5538700278684701E-2</v>
      </c>
      <c r="J108" s="6">
        <f t="shared" ca="1" si="21"/>
        <v>6318.1466416227759</v>
      </c>
      <c r="K108" s="9">
        <f t="shared" ca="1" si="22"/>
        <v>6318.222180323055</v>
      </c>
      <c r="L108" s="6">
        <f t="shared" ca="1" si="23"/>
        <v>9161.3902085982081</v>
      </c>
      <c r="N108" s="9"/>
      <c r="O108" s="9"/>
      <c r="P108" s="9"/>
    </row>
    <row r="109" spans="1:16" x14ac:dyDescent="0.2">
      <c r="A109">
        <f t="shared" si="13"/>
        <v>108</v>
      </c>
      <c r="B109" s="5">
        <f t="shared" ca="1" si="17"/>
        <v>108</v>
      </c>
      <c r="C109" s="6">
        <f t="shared" ca="1" si="19"/>
        <v>98984.297385423386</v>
      </c>
      <c r="D109" s="20">
        <f t="shared" ca="1" si="18"/>
        <v>7.1762874559099243E-3</v>
      </c>
      <c r="E109" s="19">
        <f t="shared" ca="1" si="24"/>
        <v>6.0000000000000053E-2</v>
      </c>
      <c r="F109" s="9">
        <f t="shared" ca="1" si="14"/>
        <v>2969.5999278900272</v>
      </c>
      <c r="G109" s="6">
        <f t="shared" ca="1" si="15"/>
        <v>2969.5289215627013</v>
      </c>
      <c r="H109" s="6">
        <f t="shared" ca="1" si="16"/>
        <v>2672.5760294064312</v>
      </c>
      <c r="I109" s="9">
        <f t="shared" ca="1" si="20"/>
        <v>7.100632732590384E-2</v>
      </c>
      <c r="J109" s="6">
        <f t="shared" ca="1" si="21"/>
        <v>5939.0535827457688</v>
      </c>
      <c r="K109" s="9">
        <f t="shared" ca="1" si="22"/>
        <v>5939.1245890730952</v>
      </c>
      <c r="L109" s="6">
        <f t="shared" ca="1" si="23"/>
        <v>8611.7006184795264</v>
      </c>
      <c r="N109" s="9"/>
      <c r="O109" s="9"/>
      <c r="P109" s="9"/>
    </row>
    <row r="110" spans="1:16" x14ac:dyDescent="0.2">
      <c r="A110">
        <f t="shared" si="13"/>
        <v>109</v>
      </c>
      <c r="B110" s="5">
        <f t="shared" ca="1" si="17"/>
        <v>109</v>
      </c>
      <c r="C110" s="6">
        <f t="shared" ca="1" si="19"/>
        <v>93045.172796350293</v>
      </c>
      <c r="D110" s="20">
        <f t="shared" ca="1" si="18"/>
        <v>7.1762874559099243E-3</v>
      </c>
      <c r="E110" s="19">
        <f t="shared" ca="1" si="24"/>
        <v>6.0000000000000053E-2</v>
      </c>
      <c r="F110" s="9">
        <f t="shared" ca="1" si="14"/>
        <v>2791.4219297903146</v>
      </c>
      <c r="G110" s="6">
        <f t="shared" ca="1" si="15"/>
        <v>2791.3551838905087</v>
      </c>
      <c r="H110" s="6">
        <f t="shared" ca="1" si="16"/>
        <v>2512.2196655014577</v>
      </c>
      <c r="I110" s="9">
        <f t="shared" ca="1" si="20"/>
        <v>6.674589980593737E-2</v>
      </c>
      <c r="J110" s="6">
        <f t="shared" ca="1" si="21"/>
        <v>5582.7063630270341</v>
      </c>
      <c r="K110" s="9">
        <f t="shared" ca="1" si="22"/>
        <v>5582.77310892684</v>
      </c>
      <c r="L110" s="6">
        <f t="shared" ca="1" si="23"/>
        <v>8094.9927744282977</v>
      </c>
      <c r="N110" s="9"/>
      <c r="O110" s="9"/>
      <c r="P110" s="9"/>
    </row>
    <row r="111" spans="1:16" x14ac:dyDescent="0.2">
      <c r="A111">
        <f t="shared" si="13"/>
        <v>110</v>
      </c>
      <c r="B111" s="5">
        <f t="shared" ca="1" si="17"/>
        <v>110</v>
      </c>
      <c r="C111" s="6">
        <f t="shared" ca="1" si="19"/>
        <v>87462.399687423458</v>
      </c>
      <c r="D111" s="20">
        <f t="shared" ca="1" si="18"/>
        <v>7.1762874559099243E-3</v>
      </c>
      <c r="E111" s="19">
        <f t="shared" ca="1" si="24"/>
        <v>6.0000000000000053E-2</v>
      </c>
      <c r="F111" s="9">
        <f t="shared" ca="1" si="14"/>
        <v>2623.9347317235138</v>
      </c>
      <c r="G111" s="6">
        <f t="shared" ca="1" si="15"/>
        <v>2623.8719906227038</v>
      </c>
      <c r="H111" s="6">
        <f t="shared" ca="1" si="16"/>
        <v>2361.4847915604332</v>
      </c>
      <c r="I111" s="9">
        <f t="shared" ca="1" si="20"/>
        <v>6.2741100809944328E-2</v>
      </c>
      <c r="J111" s="6">
        <f t="shared" ca="1" si="21"/>
        <v>5247.7402167793634</v>
      </c>
      <c r="K111" s="9">
        <f t="shared" ca="1" si="22"/>
        <v>5247.8029578801734</v>
      </c>
      <c r="L111" s="6">
        <f t="shared" ca="1" si="23"/>
        <v>7609.2877494406066</v>
      </c>
      <c r="N111" s="9"/>
      <c r="O111" s="9"/>
      <c r="P111" s="9"/>
    </row>
    <row r="112" spans="1:16" x14ac:dyDescent="0.2">
      <c r="A112">
        <f t="shared" si="13"/>
        <v>111</v>
      </c>
      <c r="B112" s="5">
        <f t="shared" ca="1" si="17"/>
        <v>111</v>
      </c>
      <c r="C112" s="6">
        <f t="shared" ca="1" si="19"/>
        <v>82214.596729543278</v>
      </c>
      <c r="D112" s="20">
        <f t="shared" ca="1" si="18"/>
        <v>7.1762874559099243E-3</v>
      </c>
      <c r="E112" s="19">
        <f t="shared" ca="1" si="24"/>
        <v>6.0000000000000053E-2</v>
      </c>
      <c r="F112" s="9">
        <f t="shared" ca="1" si="14"/>
        <v>2466.4968784787529</v>
      </c>
      <c r="G112" s="6">
        <f t="shared" ca="1" si="15"/>
        <v>2466.4379018862983</v>
      </c>
      <c r="H112" s="6">
        <f t="shared" ca="1" si="16"/>
        <v>2219.7941116976685</v>
      </c>
      <c r="I112" s="9">
        <f t="shared" ca="1" si="20"/>
        <v>5.8976592454655474E-2</v>
      </c>
      <c r="J112" s="6">
        <f t="shared" ca="1" si="21"/>
        <v>4932.872265177054</v>
      </c>
      <c r="K112" s="9">
        <f t="shared" ca="1" si="22"/>
        <v>4932.9312417695091</v>
      </c>
      <c r="L112" s="6">
        <f t="shared" ca="1" si="23"/>
        <v>7152.7253534671781</v>
      </c>
      <c r="N112" s="9"/>
      <c r="O112" s="9"/>
      <c r="P112" s="9"/>
    </row>
    <row r="113" spans="1:16" x14ac:dyDescent="0.2">
      <c r="A113">
        <f t="shared" si="13"/>
        <v>112</v>
      </c>
      <c r="B113" s="5">
        <f t="shared" ca="1" si="17"/>
        <v>112</v>
      </c>
      <c r="C113" s="6">
        <f t="shared" ca="1" si="19"/>
        <v>77281.665487773775</v>
      </c>
      <c r="D113" s="20">
        <f t="shared" ca="1" si="18"/>
        <v>7.1762874559099243E-3</v>
      </c>
      <c r="E113" s="19">
        <f t="shared" ca="1" si="24"/>
        <v>6.0000000000000053E-2</v>
      </c>
      <c r="F113" s="9">
        <f t="shared" ca="1" si="14"/>
        <v>2318.5054025903519</v>
      </c>
      <c r="G113" s="6">
        <f t="shared" ca="1" si="15"/>
        <v>2318.4499646332133</v>
      </c>
      <c r="H113" s="6">
        <f t="shared" ca="1" si="16"/>
        <v>2086.6049681698919</v>
      </c>
      <c r="I113" s="9">
        <f t="shared" ca="1" si="20"/>
        <v>5.5437957138565253E-2</v>
      </c>
      <c r="J113" s="6">
        <f t="shared" ca="1" si="21"/>
        <v>4636.8966029890025</v>
      </c>
      <c r="K113" s="9">
        <f t="shared" ca="1" si="22"/>
        <v>4636.9520409461411</v>
      </c>
      <c r="L113" s="6">
        <f t="shared" ca="1" si="23"/>
        <v>6723.5570091160334</v>
      </c>
      <c r="N113" s="9"/>
      <c r="O113" s="9"/>
      <c r="P113" s="9"/>
    </row>
    <row r="114" spans="1:16" x14ac:dyDescent="0.2">
      <c r="A114">
        <f t="shared" si="13"/>
        <v>113</v>
      </c>
      <c r="B114" s="5">
        <f t="shared" ca="1" si="17"/>
        <v>113</v>
      </c>
      <c r="C114" s="6">
        <f t="shared" ca="1" si="19"/>
        <v>72644.713446827634</v>
      </c>
      <c r="D114" s="20">
        <f t="shared" ca="1" si="18"/>
        <v>7.1762874559099243E-3</v>
      </c>
      <c r="E114" s="19">
        <f t="shared" ca="1" si="24"/>
        <v>6.0000000000000053E-2</v>
      </c>
      <c r="F114" s="9">
        <f t="shared" ca="1" si="14"/>
        <v>2179.3935150471575</v>
      </c>
      <c r="G114" s="6">
        <f t="shared" ca="1" si="15"/>
        <v>2179.3414034048292</v>
      </c>
      <c r="H114" s="6">
        <f t="shared" ca="1" si="16"/>
        <v>1961.4072630643461</v>
      </c>
      <c r="I114" s="9">
        <f t="shared" ca="1" si="20"/>
        <v>5.2111642328327434E-2</v>
      </c>
      <c r="J114" s="6">
        <f t="shared" ca="1" si="21"/>
        <v>4358.6796801111223</v>
      </c>
      <c r="K114" s="9">
        <f t="shared" ca="1" si="22"/>
        <v>4358.731791753451</v>
      </c>
      <c r="L114" s="6">
        <f t="shared" ca="1" si="23"/>
        <v>6320.1390548177969</v>
      </c>
      <c r="N114" s="9"/>
      <c r="O114" s="9"/>
      <c r="P114" s="9"/>
    </row>
    <row r="115" spans="1:16" x14ac:dyDescent="0.2">
      <c r="A115">
        <f t="shared" si="13"/>
        <v>114</v>
      </c>
      <c r="B115" s="5">
        <f t="shared" ca="1" si="17"/>
        <v>114</v>
      </c>
      <c r="C115" s="6">
        <f t="shared" ca="1" si="19"/>
        <v>68285.981655074182</v>
      </c>
      <c r="D115" s="20">
        <f t="shared" ca="1" si="18"/>
        <v>7.1762874559099243E-3</v>
      </c>
      <c r="E115" s="19">
        <f t="shared" ca="1" si="24"/>
        <v>6.0000000000000053E-2</v>
      </c>
      <c r="F115" s="9">
        <f t="shared" ca="1" si="14"/>
        <v>2048.6284345608751</v>
      </c>
      <c r="G115" s="6">
        <f t="shared" ca="1" si="15"/>
        <v>2048.5794496522253</v>
      </c>
      <c r="H115" s="6">
        <f t="shared" ca="1" si="16"/>
        <v>1843.7215046870028</v>
      </c>
      <c r="I115" s="9">
        <f t="shared" ca="1" si="20"/>
        <v>4.8984908649799763E-2</v>
      </c>
      <c r="J115" s="6">
        <f t="shared" ca="1" si="21"/>
        <v>4097.155960209936</v>
      </c>
      <c r="K115" s="9">
        <f t="shared" ca="1" si="22"/>
        <v>4097.2049451185858</v>
      </c>
      <c r="L115" s="6">
        <f t="shared" ca="1" si="23"/>
        <v>5940.9264498055891</v>
      </c>
      <c r="N115" s="9"/>
      <c r="O115" s="9"/>
      <c r="P115" s="9"/>
    </row>
    <row r="116" spans="1:16" x14ac:dyDescent="0.2">
      <c r="A116">
        <f t="shared" si="13"/>
        <v>115</v>
      </c>
      <c r="B116" s="5">
        <f t="shared" ca="1" si="17"/>
        <v>115</v>
      </c>
      <c r="C116" s="6">
        <f t="shared" ca="1" si="19"/>
        <v>64188.776709955593</v>
      </c>
      <c r="D116" s="20">
        <f t="shared" ca="1" si="18"/>
        <v>7.1762874559099243E-3</v>
      </c>
      <c r="E116" s="19">
        <f t="shared" ca="1" si="24"/>
        <v>6.0000000000000053E-2</v>
      </c>
      <c r="F116" s="9">
        <f t="shared" ca="1" si="14"/>
        <v>1925.7093470797672</v>
      </c>
      <c r="G116" s="6">
        <f t="shared" ca="1" si="15"/>
        <v>1925.6633012986676</v>
      </c>
      <c r="H116" s="6">
        <f t="shared" ca="1" si="16"/>
        <v>1733.096971168801</v>
      </c>
      <c r="I116" s="9">
        <f t="shared" ca="1" si="20"/>
        <v>4.604578109956492E-2</v>
      </c>
      <c r="J116" s="6">
        <f t="shared" ca="1" si="21"/>
        <v>3851.3238398504732</v>
      </c>
      <c r="K116" s="9">
        <f t="shared" ca="1" si="22"/>
        <v>3851.3698856315727</v>
      </c>
      <c r="L116" s="6">
        <f t="shared" ca="1" si="23"/>
        <v>5584.4668568003735</v>
      </c>
      <c r="N116" s="9"/>
      <c r="O116" s="9"/>
      <c r="P116" s="9"/>
    </row>
    <row r="117" spans="1:16" x14ac:dyDescent="0.2">
      <c r="A117">
        <f t="shared" si="13"/>
        <v>116</v>
      </c>
      <c r="B117" s="5">
        <f t="shared" ca="1" si="17"/>
        <v>116</v>
      </c>
      <c r="C117" s="6">
        <f t="shared" ca="1" si="19"/>
        <v>60337.406824324018</v>
      </c>
      <c r="D117" s="20">
        <f t="shared" ca="1" si="18"/>
        <v>7.1762874559099243E-3</v>
      </c>
      <c r="E117" s="19">
        <f t="shared" ca="1" si="24"/>
        <v>6.0000000000000053E-2</v>
      </c>
      <c r="F117" s="9">
        <f t="shared" ca="1" si="14"/>
        <v>1810.1654877329049</v>
      </c>
      <c r="G117" s="6">
        <f t="shared" ca="1" si="15"/>
        <v>1810.1222047297206</v>
      </c>
      <c r="H117" s="6">
        <f t="shared" ca="1" si="16"/>
        <v>1629.1099842567485</v>
      </c>
      <c r="I117" s="9">
        <f t="shared" ca="1" si="20"/>
        <v>4.3283003184342306E-2</v>
      </c>
      <c r="J117" s="6">
        <f t="shared" ca="1" si="21"/>
        <v>3620.241812479253</v>
      </c>
      <c r="K117" s="9">
        <f t="shared" ca="1" si="22"/>
        <v>3620.2850954824371</v>
      </c>
      <c r="L117" s="6">
        <f t="shared" ca="1" si="23"/>
        <v>5249.3950797391853</v>
      </c>
      <c r="N117" s="9"/>
      <c r="O117" s="9"/>
      <c r="P117" s="9"/>
    </row>
    <row r="118" spans="1:16" x14ac:dyDescent="0.2">
      <c r="A118">
        <f t="shared" si="13"/>
        <v>117</v>
      </c>
      <c r="B118" s="5">
        <f t="shared" ca="1" si="17"/>
        <v>117</v>
      </c>
      <c r="C118" s="6">
        <f t="shared" ca="1" si="19"/>
        <v>56717.121728841579</v>
      </c>
      <c r="D118" s="20">
        <f t="shared" ca="1" si="18"/>
        <v>7.1762874559099243E-3</v>
      </c>
      <c r="E118" s="19">
        <f t="shared" ca="1" si="24"/>
        <v>6.0000000000000053E-2</v>
      </c>
      <c r="F118" s="9">
        <f t="shared" ca="1" si="14"/>
        <v>1701.5543378590546</v>
      </c>
      <c r="G118" s="6">
        <f t="shared" ca="1" si="15"/>
        <v>1701.5136518652473</v>
      </c>
      <c r="H118" s="6">
        <f t="shared" ca="1" si="16"/>
        <v>1531.3622866787225</v>
      </c>
      <c r="I118" s="9">
        <f t="shared" ca="1" si="20"/>
        <v>4.0685993807301202E-2</v>
      </c>
      <c r="J118" s="6">
        <f t="shared" ca="1" si="21"/>
        <v>3403.0248625708691</v>
      </c>
      <c r="K118" s="9">
        <f t="shared" ca="1" si="22"/>
        <v>3403.0655485646766</v>
      </c>
      <c r="L118" s="6">
        <f t="shared" ca="1" si="23"/>
        <v>4934.4278352433994</v>
      </c>
      <c r="N118" s="9"/>
      <c r="O118" s="9"/>
      <c r="P118" s="9"/>
    </row>
    <row r="119" spans="1:16" x14ac:dyDescent="0.2">
      <c r="A119">
        <f t="shared" si="13"/>
        <v>118</v>
      </c>
      <c r="B119" s="5">
        <f t="shared" ca="1" si="17"/>
        <v>118</v>
      </c>
      <c r="C119" s="6">
        <f t="shared" ca="1" si="19"/>
        <v>53314.056180276901</v>
      </c>
      <c r="D119" s="20">
        <f t="shared" ca="1" si="18"/>
        <v>7.1762874559099243E-3</v>
      </c>
      <c r="E119" s="19">
        <f t="shared" ca="1" si="24"/>
        <v>6.0000000000000053E-2</v>
      </c>
      <c r="F119" s="9">
        <f t="shared" ca="1" si="14"/>
        <v>1599.4599302150509</v>
      </c>
      <c r="G119" s="6">
        <f t="shared" ca="1" si="15"/>
        <v>1599.421685408307</v>
      </c>
      <c r="H119" s="6">
        <f t="shared" ca="1" si="16"/>
        <v>1439.4795168674764</v>
      </c>
      <c r="I119" s="9">
        <f t="shared" ca="1" si="20"/>
        <v>3.8244806743932713E-2</v>
      </c>
      <c r="J119" s="6">
        <f t="shared" ca="1" si="21"/>
        <v>3198.8410761282121</v>
      </c>
      <c r="K119" s="9">
        <f t="shared" ca="1" si="22"/>
        <v>3198.879320934956</v>
      </c>
      <c r="L119" s="6">
        <f t="shared" ca="1" si="23"/>
        <v>4638.3588378024324</v>
      </c>
      <c r="N119" s="9"/>
      <c r="O119" s="9"/>
      <c r="P119" s="9"/>
    </row>
    <row r="120" spans="1:16" x14ac:dyDescent="0.2">
      <c r="A120">
        <f t="shared" si="13"/>
        <v>119</v>
      </c>
      <c r="B120" s="5">
        <f t="shared" ca="1" si="17"/>
        <v>119</v>
      </c>
      <c r="C120" s="6">
        <f t="shared" ca="1" si="19"/>
        <v>50115.176859341947</v>
      </c>
      <c r="D120" s="20">
        <f t="shared" ca="1" si="18"/>
        <v>7.1762874559099243E-3</v>
      </c>
      <c r="E120" s="19">
        <f t="shared" ca="1" si="24"/>
        <v>6.0000000000000053E-2</v>
      </c>
      <c r="F120" s="9">
        <f t="shared" ca="1" si="14"/>
        <v>1503.491255872809</v>
      </c>
      <c r="G120" s="6">
        <f t="shared" ca="1" si="15"/>
        <v>1503.4553057802584</v>
      </c>
      <c r="H120" s="6">
        <f t="shared" ca="1" si="16"/>
        <v>1353.1097752022326</v>
      </c>
      <c r="I120" s="9">
        <f t="shared" ca="1" si="20"/>
        <v>3.5950092550592672E-2</v>
      </c>
      <c r="J120" s="6">
        <f t="shared" ca="1" si="21"/>
        <v>3006.9084545549667</v>
      </c>
      <c r="K120" s="9">
        <f t="shared" ca="1" si="22"/>
        <v>3006.9444046475173</v>
      </c>
      <c r="L120" s="6">
        <f t="shared" ca="1" si="23"/>
        <v>4360.0541798497497</v>
      </c>
      <c r="N120" s="9"/>
      <c r="O120" s="9"/>
      <c r="P120" s="9"/>
    </row>
    <row r="121" spans="1:16" x14ac:dyDescent="0.2">
      <c r="A121">
        <f t="shared" si="13"/>
        <v>120</v>
      </c>
      <c r="B121" s="5">
        <f t="shared" ca="1" si="17"/>
        <v>120</v>
      </c>
      <c r="C121" s="6">
        <f t="shared" ca="1" si="19"/>
        <v>47108.232454694429</v>
      </c>
      <c r="D121" s="20">
        <f t="shared" ca="1" si="18"/>
        <v>7.1762874559099243E-3</v>
      </c>
      <c r="E121" s="19">
        <f t="shared" ca="1" si="24"/>
        <v>6.0000000000000053E-2</v>
      </c>
      <c r="F121" s="9">
        <f t="shared" ca="1" si="14"/>
        <v>1413.2807667035891</v>
      </c>
      <c r="G121" s="6">
        <f t="shared" ca="1" si="15"/>
        <v>1413.2469736408327</v>
      </c>
      <c r="H121" s="6">
        <f t="shared" ca="1" si="16"/>
        <v>1271.9222762767495</v>
      </c>
      <c r="I121" s="9">
        <f t="shared" ca="1" si="20"/>
        <v>3.3793062756330983E-2</v>
      </c>
      <c r="J121" s="6">
        <f t="shared" ca="1" si="21"/>
        <v>2826.4919196979026</v>
      </c>
      <c r="K121" s="9">
        <f t="shared" ca="1" si="22"/>
        <v>2826.5257127606592</v>
      </c>
      <c r="L121" s="6">
        <f t="shared" ca="1" si="23"/>
        <v>4098.4479890374087</v>
      </c>
      <c r="N121" s="9"/>
      <c r="O121" s="9"/>
      <c r="P121" s="9"/>
    </row>
    <row r="122" spans="1:16" x14ac:dyDescent="0.2">
      <c r="A122">
        <f t="shared" si="13"/>
        <v>121</v>
      </c>
      <c r="B122" s="5">
        <f t="shared" ca="1" si="17"/>
        <v>121</v>
      </c>
      <c r="C122" s="6">
        <f t="shared" ca="1" si="19"/>
        <v>44281.706741933769</v>
      </c>
      <c r="D122" s="20">
        <f t="shared" ca="1" si="18"/>
        <v>7.1762874559099243E-3</v>
      </c>
      <c r="E122" s="19">
        <f t="shared" ca="1" si="24"/>
        <v>6.0000000000000053E-2</v>
      </c>
      <c r="F122" s="9">
        <f t="shared" ca="1" si="14"/>
        <v>1328.4829677142168</v>
      </c>
      <c r="G122" s="6">
        <f t="shared" ca="1" si="15"/>
        <v>1328.4512022580129</v>
      </c>
      <c r="H122" s="6">
        <f t="shared" ca="1" si="16"/>
        <v>1195.6060820322118</v>
      </c>
      <c r="I122" s="9">
        <f t="shared" ca="1" si="20"/>
        <v>3.1765456203856957E-2</v>
      </c>
      <c r="J122" s="6">
        <f t="shared" ca="1" si="21"/>
        <v>2656.9004985886563</v>
      </c>
      <c r="K122" s="9">
        <f t="shared" ca="1" si="22"/>
        <v>2656.9322640448599</v>
      </c>
      <c r="L122" s="6">
        <f t="shared" ca="1" si="23"/>
        <v>3852.5383460770718</v>
      </c>
      <c r="N122" s="9"/>
      <c r="O122" s="9"/>
      <c r="P122" s="9"/>
    </row>
    <row r="123" spans="1:16" x14ac:dyDescent="0.2">
      <c r="A123">
        <f t="shared" si="13"/>
        <v>122</v>
      </c>
      <c r="B123" s="5">
        <f t="shared" ca="1" si="17"/>
        <v>122</v>
      </c>
      <c r="C123" s="6">
        <f t="shared" ca="1" si="19"/>
        <v>41624.77447788891</v>
      </c>
      <c r="D123" s="20">
        <f t="shared" ca="1" si="18"/>
        <v>7.1762874559099243E-3</v>
      </c>
      <c r="E123" s="19">
        <f t="shared" ca="1" si="24"/>
        <v>6.0000000000000053E-2</v>
      </c>
      <c r="F123" s="9">
        <f t="shared" ca="1" si="14"/>
        <v>1248.7730938440791</v>
      </c>
      <c r="G123" s="6">
        <f t="shared" ca="1" si="15"/>
        <v>1248.7432343366672</v>
      </c>
      <c r="H123" s="6">
        <f t="shared" ca="1" si="16"/>
        <v>1123.8689109030006</v>
      </c>
      <c r="I123" s="9">
        <f t="shared" ca="1" si="20"/>
        <v>2.9859507411856612E-2</v>
      </c>
      <c r="J123" s="6">
        <f t="shared" ca="1" si="21"/>
        <v>2497.484677102892</v>
      </c>
      <c r="K123" s="9">
        <f t="shared" ca="1" si="22"/>
        <v>2497.5145366103038</v>
      </c>
      <c r="L123" s="6">
        <f t="shared" ca="1" si="23"/>
        <v>3621.3834475133044</v>
      </c>
      <c r="N123" s="9"/>
      <c r="O123" s="9"/>
      <c r="P123" s="9"/>
    </row>
    <row r="124" spans="1:16" x14ac:dyDescent="0.2">
      <c r="A124">
        <f t="shared" si="13"/>
        <v>123</v>
      </c>
      <c r="B124" s="5">
        <f t="shared" ca="1" si="17"/>
        <v>123</v>
      </c>
      <c r="C124" s="6">
        <f t="shared" ca="1" si="19"/>
        <v>39127.259941278608</v>
      </c>
      <c r="D124" s="20">
        <f t="shared" ca="1" si="18"/>
        <v>7.1762874559099243E-3</v>
      </c>
      <c r="E124" s="19">
        <f t="shared" ca="1" si="24"/>
        <v>6.0000000000000053E-2</v>
      </c>
      <c r="F124" s="9">
        <f t="shared" ca="1" si="14"/>
        <v>1173.8458661551908</v>
      </c>
      <c r="G124" s="6">
        <f t="shared" ca="1" si="15"/>
        <v>1173.8177982383581</v>
      </c>
      <c r="H124" s="6">
        <f t="shared" ca="1" si="16"/>
        <v>1056.4360184145223</v>
      </c>
      <c r="I124" s="9">
        <f t="shared" ca="1" si="20"/>
        <v>2.8067916832696937E-2</v>
      </c>
      <c r="J124" s="6">
        <f t="shared" ca="1" si="21"/>
        <v>2347.6339124017086</v>
      </c>
      <c r="K124" s="9">
        <f t="shared" ca="1" si="22"/>
        <v>2347.6619803185413</v>
      </c>
      <c r="L124" s="6">
        <f t="shared" ca="1" si="23"/>
        <v>3404.0979987330638</v>
      </c>
      <c r="N124" s="9"/>
      <c r="O124" s="9"/>
      <c r="P124" s="9"/>
    </row>
    <row r="125" spans="1:16" x14ac:dyDescent="0.2">
      <c r="A125">
        <f t="shared" si="13"/>
        <v>124</v>
      </c>
      <c r="B125" s="5">
        <f t="shared" ca="1" si="17"/>
        <v>124</v>
      </c>
      <c r="C125" s="6">
        <f t="shared" ca="1" si="19"/>
        <v>36779.597960960069</v>
      </c>
      <c r="D125" s="20">
        <f t="shared" ca="1" si="18"/>
        <v>7.1762874559099243E-3</v>
      </c>
      <c r="E125" s="19">
        <f t="shared" ca="1" si="24"/>
        <v>6.0000000000000053E-2</v>
      </c>
      <c r="F125" s="9">
        <f t="shared" ca="1" si="14"/>
        <v>1103.4143226516983</v>
      </c>
      <c r="G125" s="6">
        <f t="shared" ca="1" si="15"/>
        <v>1103.3879388288021</v>
      </c>
      <c r="H125" s="6">
        <f t="shared" ca="1" si="16"/>
        <v>993.04914494592185</v>
      </c>
      <c r="I125" s="9">
        <f t="shared" ca="1" si="20"/>
        <v>2.6383822896150377E-2</v>
      </c>
      <c r="J125" s="6">
        <f t="shared" ca="1" si="21"/>
        <v>2206.7742946282324</v>
      </c>
      <c r="K125" s="9">
        <f t="shared" ca="1" si="22"/>
        <v>2206.8006784511285</v>
      </c>
      <c r="L125" s="6">
        <f t="shared" ca="1" si="23"/>
        <v>3199.8498233970504</v>
      </c>
      <c r="N125" s="9"/>
      <c r="O125" s="9"/>
      <c r="P125" s="9"/>
    </row>
    <row r="126" spans="1:16" x14ac:dyDescent="0.2">
      <c r="A126">
        <f t="shared" si="13"/>
        <v>125</v>
      </c>
      <c r="B126" s="5">
        <f t="shared" ca="1" si="17"/>
        <v>125</v>
      </c>
      <c r="C126" s="6">
        <f t="shared" ca="1" si="19"/>
        <v>34572.797282508938</v>
      </c>
      <c r="D126" s="20">
        <f t="shared" ca="1" si="18"/>
        <v>7.1762874559099243E-3</v>
      </c>
      <c r="E126" s="19">
        <f t="shared" ca="1" si="24"/>
        <v>6.0000000000000053E-2</v>
      </c>
      <c r="F126" s="9">
        <f t="shared" ca="1" si="14"/>
        <v>1037.2087192509998</v>
      </c>
      <c r="G126" s="6">
        <f t="shared" ca="1" si="15"/>
        <v>1037.183918475268</v>
      </c>
      <c r="H126" s="6">
        <f t="shared" ca="1" si="16"/>
        <v>933.46552662774127</v>
      </c>
      <c r="I126" s="9">
        <f t="shared" ca="1" si="20"/>
        <v>2.4800775731819158E-2</v>
      </c>
      <c r="J126" s="6">
        <f t="shared" ca="1" si="21"/>
        <v>2074.3663489039941</v>
      </c>
      <c r="K126" s="9">
        <f t="shared" ca="1" si="22"/>
        <v>2074.3911496797259</v>
      </c>
      <c r="L126" s="6">
        <f t="shared" ca="1" si="23"/>
        <v>3007.8566763074673</v>
      </c>
      <c r="N126" s="9"/>
      <c r="O126" s="9"/>
      <c r="P126" s="9"/>
    </row>
    <row r="127" spans="1:16" x14ac:dyDescent="0.2">
      <c r="A127">
        <f t="shared" si="13"/>
        <v>126</v>
      </c>
      <c r="B127" s="5">
        <f t="shared" ca="1" si="17"/>
        <v>126</v>
      </c>
      <c r="C127" s="6">
        <f t="shared" ca="1" si="19"/>
        <v>32498.406132829212</v>
      </c>
      <c r="D127" s="20">
        <f t="shared" ca="1" si="18"/>
        <v>7.1762874559099243E-3</v>
      </c>
      <c r="E127" s="19">
        <f t="shared" ca="1" si="24"/>
        <v>6.0000000000000053E-2</v>
      </c>
      <c r="F127" s="9">
        <f t="shared" ca="1" si="14"/>
        <v>974.97549669734065</v>
      </c>
      <c r="G127" s="6">
        <f t="shared" ca="1" si="15"/>
        <v>974.95218398487634</v>
      </c>
      <c r="H127" s="6">
        <f t="shared" ca="1" si="16"/>
        <v>877.45696558638872</v>
      </c>
      <c r="I127" s="9">
        <f t="shared" ca="1" si="20"/>
        <v>2.3312712464303331E-2</v>
      </c>
      <c r="J127" s="6">
        <f t="shared" ca="1" si="21"/>
        <v>1949.9029692070067</v>
      </c>
      <c r="K127" s="9">
        <f t="shared" ca="1" si="22"/>
        <v>1949.926281919471</v>
      </c>
      <c r="L127" s="6">
        <f t="shared" ca="1" si="23"/>
        <v>2827.3832475058598</v>
      </c>
      <c r="N127" s="9"/>
      <c r="O127" s="9"/>
      <c r="P127" s="9"/>
    </row>
    <row r="128" spans="1:16" x14ac:dyDescent="0.2">
      <c r="A128">
        <f t="shared" si="13"/>
        <v>127</v>
      </c>
      <c r="B128" s="5">
        <f t="shared" ca="1" si="17"/>
        <v>127</v>
      </c>
      <c r="C128" s="6">
        <f t="shared" ca="1" si="19"/>
        <v>30548.479850909742</v>
      </c>
      <c r="D128" s="20">
        <f t="shared" ca="1" si="18"/>
        <v>7.1762874559099243E-3</v>
      </c>
      <c r="E128" s="19">
        <f t="shared" ca="1" si="24"/>
        <v>6.0000000000000053E-2</v>
      </c>
      <c r="F128" s="9">
        <f t="shared" ca="1" si="14"/>
        <v>916.47630946128868</v>
      </c>
      <c r="G128" s="6">
        <f t="shared" ca="1" si="15"/>
        <v>916.45439552729226</v>
      </c>
      <c r="H128" s="6">
        <f t="shared" ca="1" si="16"/>
        <v>824.80895597456299</v>
      </c>
      <c r="I128" s="9">
        <f t="shared" ca="1" si="20"/>
        <v>2.1913933996415835E-2</v>
      </c>
      <c r="J128" s="6">
        <f t="shared" ca="1" si="21"/>
        <v>1832.9074762185462</v>
      </c>
      <c r="K128" s="9">
        <f t="shared" ca="1" si="22"/>
        <v>1832.9293901525425</v>
      </c>
      <c r="L128" s="6">
        <f t="shared" ca="1" si="23"/>
        <v>2657.7383461271056</v>
      </c>
      <c r="N128" s="9"/>
      <c r="O128" s="9"/>
      <c r="P128" s="9"/>
    </row>
    <row r="129" spans="1:16" x14ac:dyDescent="0.2">
      <c r="A129">
        <f t="shared" si="13"/>
        <v>128</v>
      </c>
      <c r="B129" s="5">
        <f t="shared" ca="1" si="17"/>
        <v>128</v>
      </c>
      <c r="C129" s="6">
        <f t="shared" ca="1" si="19"/>
        <v>28715.5504607572</v>
      </c>
      <c r="D129" s="20">
        <f t="shared" ca="1" si="18"/>
        <v>7.1762874559099243E-3</v>
      </c>
      <c r="E129" s="19">
        <f t="shared" ca="1" si="24"/>
        <v>6.0000000000000053E-2</v>
      </c>
      <c r="F129" s="9">
        <f t="shared" ca="1" si="14"/>
        <v>861.48711290589597</v>
      </c>
      <c r="G129" s="6">
        <f t="shared" ca="1" si="15"/>
        <v>861.46651382271602</v>
      </c>
      <c r="H129" s="6">
        <f t="shared" ca="1" si="16"/>
        <v>775.31986244044435</v>
      </c>
      <c r="I129" s="9">
        <f t="shared" ca="1" si="20"/>
        <v>2.059908317994541E-2</v>
      </c>
      <c r="J129" s="6">
        <f t="shared" ca="1" si="21"/>
        <v>1722.9317917004428</v>
      </c>
      <c r="K129" s="9">
        <f t="shared" ca="1" si="22"/>
        <v>1722.9523907836228</v>
      </c>
      <c r="L129" s="6">
        <f t="shared" ca="1" si="23"/>
        <v>2498.2722532240673</v>
      </c>
      <c r="N129" s="9"/>
      <c r="O129" s="9"/>
      <c r="P129" s="9"/>
    </row>
    <row r="130" spans="1:16" x14ac:dyDescent="0.2">
      <c r="A130">
        <f t="shared" ref="A130:A193" si="25">IF(ROW(A130)-1&gt;$O$4,"",ROW(A130)-1)</f>
        <v>129</v>
      </c>
      <c r="B130" s="5">
        <f t="shared" ca="1" si="17"/>
        <v>129</v>
      </c>
      <c r="C130" s="6">
        <f t="shared" ca="1" si="19"/>
        <v>26992.598069973577</v>
      </c>
      <c r="D130" s="20">
        <f t="shared" ca="1" si="18"/>
        <v>7.1762874559099243E-3</v>
      </c>
      <c r="E130" s="19">
        <f t="shared" ca="1" si="24"/>
        <v>6.0000000000000053E-2</v>
      </c>
      <c r="F130" s="9">
        <f t="shared" ref="F130:F193" ca="1" si="26">IFERROR(-PMT($O$2, $O$4, C130, 0,0),0)</f>
        <v>809.79730522350633</v>
      </c>
      <c r="G130" s="6">
        <f t="shared" ref="G130:G193" ca="1" si="27">C130*$O$2</f>
        <v>809.77794209920728</v>
      </c>
      <c r="H130" s="6">
        <f t="shared" ref="H130:H193" ca="1" si="28">C130*$O$6</f>
        <v>728.80014788928656</v>
      </c>
      <c r="I130" s="9">
        <f t="shared" ca="1" si="20"/>
        <v>1.936312429904774E-2</v>
      </c>
      <c r="J130" s="6">
        <f t="shared" ca="1" si="21"/>
        <v>1619.5547224109582</v>
      </c>
      <c r="K130" s="9">
        <f t="shared" ca="1" si="22"/>
        <v>1619.5740855352574</v>
      </c>
      <c r="L130" s="6">
        <f t="shared" ca="1" si="23"/>
        <v>2348.3742334245439</v>
      </c>
      <c r="N130" s="9"/>
      <c r="O130" s="9"/>
      <c r="P130" s="9"/>
    </row>
    <row r="131" spans="1:16" x14ac:dyDescent="0.2">
      <c r="A131">
        <f t="shared" si="25"/>
        <v>130</v>
      </c>
      <c r="B131" s="5">
        <f t="shared" ref="B131:B194" ca="1" si="29">IF(ROW(B131)-1&gt;$O$5, "", OFFSET(B130, 0,0)+1)</f>
        <v>130</v>
      </c>
      <c r="C131" s="6">
        <f t="shared" ca="1" si="19"/>
        <v>25373.023984438321</v>
      </c>
      <c r="D131" s="20">
        <f t="shared" ref="D131:D194" ca="1" si="30">1-(1-(E131/100))^12</f>
        <v>7.1762874559099243E-3</v>
      </c>
      <c r="E131" s="19">
        <f t="shared" ca="1" si="24"/>
        <v>6.0000000000000053E-2</v>
      </c>
      <c r="F131" s="9">
        <f t="shared" ca="1" si="26"/>
        <v>761.20892085693401</v>
      </c>
      <c r="G131" s="6">
        <f t="shared" ca="1" si="27"/>
        <v>761.1907195331496</v>
      </c>
      <c r="H131" s="6">
        <f t="shared" ca="1" si="28"/>
        <v>685.07164757983469</v>
      </c>
      <c r="I131" s="9">
        <f t="shared" ca="1" si="20"/>
        <v>1.8201323784410306E-2</v>
      </c>
      <c r="J131" s="6">
        <f t="shared" ca="1" si="21"/>
        <v>1522.3803469868737</v>
      </c>
      <c r="K131" s="9">
        <f t="shared" ca="1" si="22"/>
        <v>1522.398548310658</v>
      </c>
      <c r="L131" s="6">
        <f t="shared" ca="1" si="23"/>
        <v>2207.4701958904925</v>
      </c>
      <c r="N131" s="9"/>
      <c r="O131" s="9"/>
      <c r="P131" s="9"/>
    </row>
    <row r="132" spans="1:16" x14ac:dyDescent="0.2">
      <c r="A132">
        <f t="shared" si="25"/>
        <v>131</v>
      </c>
      <c r="B132" s="5">
        <f t="shared" ca="1" si="29"/>
        <v>131</v>
      </c>
      <c r="C132" s="6">
        <f t="shared" ref="C132:C195" ca="1" si="31">IFERROR(C131-K131,0)</f>
        <v>23850.625436127662</v>
      </c>
      <c r="D132" s="20">
        <f t="shared" ca="1" si="30"/>
        <v>7.1762874559099243E-3</v>
      </c>
      <c r="E132" s="19">
        <f t="shared" ca="1" si="24"/>
        <v>6.0000000000000053E-2</v>
      </c>
      <c r="F132" s="9">
        <f t="shared" ca="1" si="26"/>
        <v>715.53587231591382</v>
      </c>
      <c r="G132" s="6">
        <f t="shared" ca="1" si="27"/>
        <v>715.51876308382987</v>
      </c>
      <c r="H132" s="6">
        <f t="shared" ca="1" si="28"/>
        <v>643.96688677544682</v>
      </c>
      <c r="I132" s="9">
        <f t="shared" ca="1" si="20"/>
        <v>1.710923208395343E-2</v>
      </c>
      <c r="J132" s="6">
        <f t="shared" ca="1" si="21"/>
        <v>1431.0364996137359</v>
      </c>
      <c r="K132" s="9">
        <f t="shared" ca="1" si="22"/>
        <v>1431.0536088458198</v>
      </c>
      <c r="L132" s="6">
        <f t="shared" ca="1" si="23"/>
        <v>2075.0204956212665</v>
      </c>
      <c r="N132" s="9"/>
      <c r="O132" s="9"/>
      <c r="P132" s="9"/>
    </row>
    <row r="133" spans="1:16" x14ac:dyDescent="0.2">
      <c r="A133">
        <f t="shared" si="25"/>
        <v>132</v>
      </c>
      <c r="B133" s="5">
        <f t="shared" ca="1" si="29"/>
        <v>132</v>
      </c>
      <c r="C133" s="6">
        <f t="shared" ca="1" si="31"/>
        <v>22419.571827281841</v>
      </c>
      <c r="D133" s="20">
        <f t="shared" ca="1" si="30"/>
        <v>7.1762874559099243E-3</v>
      </c>
      <c r="E133" s="19">
        <f t="shared" ca="1" si="24"/>
        <v>6.0000000000000053E-2</v>
      </c>
      <c r="F133" s="9">
        <f t="shared" ca="1" si="26"/>
        <v>672.60323748507733</v>
      </c>
      <c r="G133" s="6">
        <f t="shared" ca="1" si="27"/>
        <v>672.58715481845525</v>
      </c>
      <c r="H133" s="6">
        <f t="shared" ca="1" si="28"/>
        <v>605.32843933660968</v>
      </c>
      <c r="I133" s="9">
        <f t="shared" ref="I133:I196" ca="1" si="32">F133-G133</f>
        <v>1.6082666622082797E-2</v>
      </c>
      <c r="J133" s="6">
        <f t="shared" ref="J133:J196" ca="1" si="33">E133*(C133-I133)</f>
        <v>1345.1733446769144</v>
      </c>
      <c r="K133" s="9">
        <f t="shared" ref="K133:K196" ca="1" si="34">(I133+J133)</f>
        <v>1345.1894273435364</v>
      </c>
      <c r="L133" s="6">
        <f t="shared" ref="L133:L196" ca="1" si="35">(H133+K133)</f>
        <v>1950.5178666801462</v>
      </c>
      <c r="N133" s="9"/>
      <c r="O133" s="9"/>
      <c r="P133" s="9"/>
    </row>
    <row r="134" spans="1:16" x14ac:dyDescent="0.2">
      <c r="A134">
        <f t="shared" si="25"/>
        <v>133</v>
      </c>
      <c r="B134" s="5">
        <f t="shared" ca="1" si="29"/>
        <v>133</v>
      </c>
      <c r="C134" s="6">
        <f t="shared" ca="1" si="31"/>
        <v>21074.382399938306</v>
      </c>
      <c r="D134" s="20">
        <f t="shared" ca="1" si="30"/>
        <v>7.1762874559099243E-3</v>
      </c>
      <c r="E134" s="19">
        <f t="shared" ca="1" si="24"/>
        <v>6.0000000000000053E-2</v>
      </c>
      <c r="F134" s="9">
        <f t="shared" ca="1" si="26"/>
        <v>632.2465896939292</v>
      </c>
      <c r="G134" s="6">
        <f t="shared" ca="1" si="27"/>
        <v>632.23147199814912</v>
      </c>
      <c r="H134" s="6">
        <f t="shared" ca="1" si="28"/>
        <v>569.00832479833423</v>
      </c>
      <c r="I134" s="9">
        <f t="shared" ca="1" si="32"/>
        <v>1.5117695780077156E-2</v>
      </c>
      <c r="J134" s="6">
        <f t="shared" ca="1" si="33"/>
        <v>1264.4620369345525</v>
      </c>
      <c r="K134" s="9">
        <f t="shared" ca="1" si="34"/>
        <v>1264.4771546303327</v>
      </c>
      <c r="L134" s="6">
        <f t="shared" ca="1" si="35"/>
        <v>1833.4854794286671</v>
      </c>
      <c r="N134" s="9"/>
      <c r="O134" s="9"/>
      <c r="P134" s="9"/>
    </row>
    <row r="135" spans="1:16" x14ac:dyDescent="0.2">
      <c r="A135">
        <f t="shared" si="25"/>
        <v>134</v>
      </c>
      <c r="B135" s="5">
        <f t="shared" ca="1" si="29"/>
        <v>134</v>
      </c>
      <c r="C135" s="6">
        <f t="shared" ca="1" si="31"/>
        <v>19809.905245307971</v>
      </c>
      <c r="D135" s="20">
        <f t="shared" ca="1" si="30"/>
        <v>7.1762874559099243E-3</v>
      </c>
      <c r="E135" s="19">
        <f t="shared" ca="1" si="24"/>
        <v>6.0000000000000053E-2</v>
      </c>
      <c r="F135" s="9">
        <f t="shared" ca="1" si="26"/>
        <v>594.31136798307841</v>
      </c>
      <c r="G135" s="6">
        <f t="shared" ca="1" si="27"/>
        <v>594.29715735923912</v>
      </c>
      <c r="H135" s="6">
        <f t="shared" ca="1" si="28"/>
        <v>534.86744162331524</v>
      </c>
      <c r="I135" s="9">
        <f t="shared" ca="1" si="32"/>
        <v>1.4210623839289838E-2</v>
      </c>
      <c r="J135" s="6">
        <f t="shared" ca="1" si="33"/>
        <v>1188.593462081049</v>
      </c>
      <c r="K135" s="9">
        <f t="shared" ca="1" si="34"/>
        <v>1188.6076727048883</v>
      </c>
      <c r="L135" s="6">
        <f t="shared" ca="1" si="35"/>
        <v>1723.4751143282035</v>
      </c>
      <c r="N135" s="9"/>
      <c r="O135" s="9"/>
      <c r="P135" s="9"/>
    </row>
    <row r="136" spans="1:16" x14ac:dyDescent="0.2">
      <c r="A136">
        <f t="shared" si="25"/>
        <v>135</v>
      </c>
      <c r="B136" s="5">
        <f t="shared" ca="1" si="29"/>
        <v>135</v>
      </c>
      <c r="C136" s="6">
        <f t="shared" ca="1" si="31"/>
        <v>18621.297572603082</v>
      </c>
      <c r="D136" s="20">
        <f t="shared" ca="1" si="30"/>
        <v>7.1762874559099243E-3</v>
      </c>
      <c r="E136" s="19">
        <f t="shared" ca="1" si="24"/>
        <v>6.0000000000000053E-2</v>
      </c>
      <c r="F136" s="9">
        <f t="shared" ca="1" si="26"/>
        <v>558.65228515491901</v>
      </c>
      <c r="G136" s="6">
        <f t="shared" ca="1" si="27"/>
        <v>558.63892717809244</v>
      </c>
      <c r="H136" s="6">
        <f t="shared" ca="1" si="28"/>
        <v>502.77503446028322</v>
      </c>
      <c r="I136" s="9">
        <f t="shared" ca="1" si="32"/>
        <v>1.3357976826569029E-2</v>
      </c>
      <c r="J136" s="6">
        <f t="shared" ca="1" si="33"/>
        <v>1117.2770528775764</v>
      </c>
      <c r="K136" s="9">
        <f t="shared" ca="1" si="34"/>
        <v>1117.290410854403</v>
      </c>
      <c r="L136" s="6">
        <f t="shared" ca="1" si="35"/>
        <v>1620.0654453146863</v>
      </c>
      <c r="N136" s="9"/>
      <c r="O136" s="9"/>
      <c r="P136" s="9"/>
    </row>
    <row r="137" spans="1:16" x14ac:dyDescent="0.2">
      <c r="A137">
        <f t="shared" si="25"/>
        <v>136</v>
      </c>
      <c r="B137" s="5">
        <f t="shared" ca="1" si="29"/>
        <v>136</v>
      </c>
      <c r="C137" s="6">
        <f t="shared" ca="1" si="31"/>
        <v>17504.007161748679</v>
      </c>
      <c r="D137" s="20">
        <f t="shared" ca="1" si="30"/>
        <v>7.1762874559099243E-3</v>
      </c>
      <c r="E137" s="19">
        <f t="shared" ca="1" si="24"/>
        <v>6.0000000000000053E-2</v>
      </c>
      <c r="F137" s="9">
        <f t="shared" ca="1" si="26"/>
        <v>525.13277134166992</v>
      </c>
      <c r="G137" s="6">
        <f t="shared" ca="1" si="27"/>
        <v>525.12021485246032</v>
      </c>
      <c r="H137" s="6">
        <f t="shared" ca="1" si="28"/>
        <v>472.60819336721431</v>
      </c>
      <c r="I137" s="9">
        <f t="shared" ca="1" si="32"/>
        <v>1.2556489209600841E-2</v>
      </c>
      <c r="J137" s="6">
        <f t="shared" ca="1" si="33"/>
        <v>1050.2396763155691</v>
      </c>
      <c r="K137" s="9">
        <f t="shared" ca="1" si="34"/>
        <v>1050.2522328047787</v>
      </c>
      <c r="L137" s="6">
        <f t="shared" ca="1" si="35"/>
        <v>1522.8604261719929</v>
      </c>
      <c r="N137" s="9"/>
      <c r="O137" s="9"/>
      <c r="P137" s="9"/>
    </row>
    <row r="138" spans="1:16" x14ac:dyDescent="0.2">
      <c r="A138">
        <f t="shared" si="25"/>
        <v>137</v>
      </c>
      <c r="B138" s="5">
        <f t="shared" ca="1" si="29"/>
        <v>137</v>
      </c>
      <c r="C138" s="6">
        <f t="shared" ca="1" si="31"/>
        <v>16453.754928943901</v>
      </c>
      <c r="D138" s="20">
        <f t="shared" ca="1" si="30"/>
        <v>7.1762874559099243E-3</v>
      </c>
      <c r="E138" s="19">
        <f t="shared" ca="1" si="24"/>
        <v>6.0000000000000053E-2</v>
      </c>
      <c r="F138" s="9">
        <f t="shared" ca="1" si="26"/>
        <v>493.62445095970708</v>
      </c>
      <c r="G138" s="6">
        <f t="shared" ca="1" si="27"/>
        <v>493.61264786831703</v>
      </c>
      <c r="H138" s="6">
        <f t="shared" ca="1" si="28"/>
        <v>444.2513830814853</v>
      </c>
      <c r="I138" s="9">
        <f t="shared" ca="1" si="32"/>
        <v>1.1803091390049758E-2</v>
      </c>
      <c r="J138" s="6">
        <f t="shared" ca="1" si="33"/>
        <v>987.22458755115144</v>
      </c>
      <c r="K138" s="9">
        <f t="shared" ca="1" si="34"/>
        <v>987.23639064254144</v>
      </c>
      <c r="L138" s="6">
        <f t="shared" ca="1" si="35"/>
        <v>1431.4877737240267</v>
      </c>
      <c r="N138" s="9"/>
      <c r="O138" s="9"/>
      <c r="P138" s="9"/>
    </row>
    <row r="139" spans="1:16" x14ac:dyDescent="0.2">
      <c r="A139">
        <f t="shared" si="25"/>
        <v>138</v>
      </c>
      <c r="B139" s="5">
        <f t="shared" ca="1" si="29"/>
        <v>138</v>
      </c>
      <c r="C139" s="6">
        <f t="shared" ca="1" si="31"/>
        <v>15466.51853830136</v>
      </c>
      <c r="D139" s="20">
        <f t="shared" ca="1" si="30"/>
        <v>7.1762874559099243E-3</v>
      </c>
      <c r="E139" s="19">
        <f t="shared" ca="1" si="24"/>
        <v>6.0000000000000053E-2</v>
      </c>
      <c r="F139" s="9">
        <f t="shared" ca="1" si="26"/>
        <v>464.00665104698851</v>
      </c>
      <c r="G139" s="6">
        <f t="shared" ca="1" si="27"/>
        <v>463.99555614904079</v>
      </c>
      <c r="H139" s="6">
        <f t="shared" ca="1" si="28"/>
        <v>417.59600053413669</v>
      </c>
      <c r="I139" s="9">
        <f t="shared" ca="1" si="32"/>
        <v>1.1094897947714344E-2</v>
      </c>
      <c r="J139" s="6">
        <f t="shared" ca="1" si="33"/>
        <v>927.99044660420554</v>
      </c>
      <c r="K139" s="9">
        <f t="shared" ca="1" si="34"/>
        <v>928.00154150215326</v>
      </c>
      <c r="L139" s="6">
        <f t="shared" ca="1" si="35"/>
        <v>1345.59754203629</v>
      </c>
      <c r="N139" s="9"/>
      <c r="O139" s="9"/>
      <c r="P139" s="9"/>
    </row>
    <row r="140" spans="1:16" x14ac:dyDescent="0.2">
      <c r="A140">
        <f t="shared" si="25"/>
        <v>139</v>
      </c>
      <c r="B140" s="5">
        <f t="shared" ca="1" si="29"/>
        <v>139</v>
      </c>
      <c r="C140" s="6">
        <f t="shared" ca="1" si="31"/>
        <v>14538.516996799206</v>
      </c>
      <c r="D140" s="20">
        <f t="shared" ca="1" si="30"/>
        <v>7.1762874559099243E-3</v>
      </c>
      <c r="E140" s="19">
        <f t="shared" ca="1" si="24"/>
        <v>6.0000000000000053E-2</v>
      </c>
      <c r="F140" s="9">
        <f t="shared" ca="1" si="26"/>
        <v>436.16593910056565</v>
      </c>
      <c r="G140" s="6">
        <f t="shared" ca="1" si="27"/>
        <v>436.15550990397617</v>
      </c>
      <c r="H140" s="6">
        <f t="shared" ca="1" si="28"/>
        <v>392.53995891357857</v>
      </c>
      <c r="I140" s="9">
        <f t="shared" ca="1" si="32"/>
        <v>1.0429196589484491E-2</v>
      </c>
      <c r="J140" s="6">
        <f t="shared" ca="1" si="33"/>
        <v>872.31039405615775</v>
      </c>
      <c r="K140" s="9">
        <f t="shared" ca="1" si="34"/>
        <v>872.32082325274723</v>
      </c>
      <c r="L140" s="6">
        <f t="shared" ca="1" si="35"/>
        <v>1264.8607821663259</v>
      </c>
      <c r="N140" s="9"/>
      <c r="O140" s="9"/>
      <c r="P140" s="9"/>
    </row>
    <row r="141" spans="1:16" x14ac:dyDescent="0.2">
      <c r="A141">
        <f t="shared" si="25"/>
        <v>140</v>
      </c>
      <c r="B141" s="5">
        <f t="shared" ca="1" si="29"/>
        <v>140</v>
      </c>
      <c r="C141" s="6">
        <f t="shared" ca="1" si="31"/>
        <v>13666.196173546459</v>
      </c>
      <c r="D141" s="20">
        <f t="shared" ca="1" si="30"/>
        <v>7.1762874559099243E-3</v>
      </c>
      <c r="E141" s="19">
        <f t="shared" ca="1" si="24"/>
        <v>6.0000000000000053E-2</v>
      </c>
      <c r="F141" s="9">
        <f t="shared" ca="1" si="26"/>
        <v>409.99568864415534</v>
      </c>
      <c r="G141" s="6">
        <f t="shared" ca="1" si="27"/>
        <v>409.98588520639379</v>
      </c>
      <c r="H141" s="6">
        <f t="shared" ca="1" si="28"/>
        <v>368.98729668575442</v>
      </c>
      <c r="I141" s="9">
        <f t="shared" ca="1" si="32"/>
        <v>9.8034377615476842E-3</v>
      </c>
      <c r="J141" s="6">
        <f t="shared" ca="1" si="33"/>
        <v>819.9711822065226</v>
      </c>
      <c r="K141" s="9">
        <f t="shared" ca="1" si="34"/>
        <v>819.98098564428415</v>
      </c>
      <c r="L141" s="6">
        <f t="shared" ca="1" si="35"/>
        <v>1188.9682823300386</v>
      </c>
      <c r="N141" s="9"/>
      <c r="O141" s="9"/>
      <c r="P141" s="9"/>
    </row>
    <row r="142" spans="1:16" x14ac:dyDescent="0.2">
      <c r="A142">
        <f t="shared" si="25"/>
        <v>141</v>
      </c>
      <c r="B142" s="5">
        <f t="shared" ca="1" si="29"/>
        <v>141</v>
      </c>
      <c r="C142" s="6">
        <f t="shared" ca="1" si="31"/>
        <v>12846.215187902175</v>
      </c>
      <c r="D142" s="20">
        <f t="shared" ca="1" si="30"/>
        <v>7.1762874559099243E-3</v>
      </c>
      <c r="E142" s="19">
        <f t="shared" ca="1" si="24"/>
        <v>6.0000000000000053E-2</v>
      </c>
      <c r="F142" s="9">
        <f t="shared" ca="1" si="26"/>
        <v>385.39567086195063</v>
      </c>
      <c r="G142" s="6">
        <f t="shared" ca="1" si="27"/>
        <v>385.38645563706524</v>
      </c>
      <c r="H142" s="6">
        <f t="shared" ca="1" si="28"/>
        <v>346.84781007335874</v>
      </c>
      <c r="I142" s="9">
        <f t="shared" ca="1" si="32"/>
        <v>9.2152248853949459E-3</v>
      </c>
      <c r="J142" s="6">
        <f t="shared" ca="1" si="33"/>
        <v>770.77235836063801</v>
      </c>
      <c r="K142" s="9">
        <f t="shared" ca="1" si="34"/>
        <v>770.78157358552335</v>
      </c>
      <c r="L142" s="6">
        <f t="shared" ca="1" si="35"/>
        <v>1117.629383658882</v>
      </c>
      <c r="N142" s="9"/>
      <c r="O142" s="9"/>
      <c r="P142" s="9"/>
    </row>
    <row r="143" spans="1:16" x14ac:dyDescent="0.2">
      <c r="A143">
        <f t="shared" si="25"/>
        <v>142</v>
      </c>
      <c r="B143" s="5">
        <f t="shared" ca="1" si="29"/>
        <v>142</v>
      </c>
      <c r="C143" s="6">
        <f t="shared" ca="1" si="31"/>
        <v>12075.433614316651</v>
      </c>
      <c r="D143" s="20">
        <f t="shared" ca="1" si="30"/>
        <v>7.1762874559099243E-3</v>
      </c>
      <c r="E143" s="19">
        <f t="shared" ca="1" si="24"/>
        <v>6.0000000000000053E-2</v>
      </c>
      <c r="F143" s="9">
        <f t="shared" ca="1" si="26"/>
        <v>362.27167073467791</v>
      </c>
      <c r="G143" s="6">
        <f t="shared" ca="1" si="27"/>
        <v>362.26300842949951</v>
      </c>
      <c r="H143" s="6">
        <f t="shared" ca="1" si="28"/>
        <v>326.0367075865496</v>
      </c>
      <c r="I143" s="9">
        <f t="shared" ca="1" si="32"/>
        <v>8.6623051784044947E-3</v>
      </c>
      <c r="J143" s="6">
        <f t="shared" ca="1" si="33"/>
        <v>724.5254971206889</v>
      </c>
      <c r="K143" s="9">
        <f t="shared" ca="1" si="34"/>
        <v>724.5341594258673</v>
      </c>
      <c r="L143" s="6">
        <f t="shared" ca="1" si="35"/>
        <v>1050.5708670124168</v>
      </c>
      <c r="N143" s="9"/>
      <c r="O143" s="9"/>
      <c r="P143" s="9"/>
    </row>
    <row r="144" spans="1:16" x14ac:dyDescent="0.2">
      <c r="A144">
        <f t="shared" si="25"/>
        <v>143</v>
      </c>
      <c r="B144" s="5">
        <f t="shared" ca="1" si="29"/>
        <v>143</v>
      </c>
      <c r="C144" s="6">
        <f t="shared" ca="1" si="31"/>
        <v>11350.899454890783</v>
      </c>
      <c r="D144" s="20">
        <f t="shared" ca="1" si="30"/>
        <v>7.1762874559099243E-3</v>
      </c>
      <c r="E144" s="19">
        <f t="shared" ca="1" si="24"/>
        <v>6.0000000000000053E-2</v>
      </c>
      <c r="F144" s="9">
        <f t="shared" ca="1" si="26"/>
        <v>340.53512620775007</v>
      </c>
      <c r="G144" s="6">
        <f t="shared" ca="1" si="27"/>
        <v>340.52698364672347</v>
      </c>
      <c r="H144" s="6">
        <f t="shared" ca="1" si="28"/>
        <v>306.47428528205114</v>
      </c>
      <c r="I144" s="9">
        <f t="shared" ca="1" si="32"/>
        <v>8.1425610266023796E-3</v>
      </c>
      <c r="J144" s="6">
        <f t="shared" ca="1" si="33"/>
        <v>681.05347873978599</v>
      </c>
      <c r="K144" s="9">
        <f t="shared" ca="1" si="34"/>
        <v>681.06162130081259</v>
      </c>
      <c r="L144" s="6">
        <f t="shared" ca="1" si="35"/>
        <v>987.53590658286373</v>
      </c>
      <c r="N144" s="9"/>
      <c r="O144" s="9"/>
      <c r="P144" s="9"/>
    </row>
    <row r="145" spans="1:16" x14ac:dyDescent="0.2">
      <c r="A145">
        <f t="shared" si="25"/>
        <v>144</v>
      </c>
      <c r="B145" s="5">
        <f t="shared" ca="1" si="29"/>
        <v>144</v>
      </c>
      <c r="C145" s="6">
        <f t="shared" ca="1" si="31"/>
        <v>10669.837833589971</v>
      </c>
      <c r="D145" s="20">
        <f t="shared" ca="1" si="30"/>
        <v>7.1762874559099243E-3</v>
      </c>
      <c r="E145" s="19">
        <f t="shared" ca="1" si="24"/>
        <v>6.0000000000000053E-2</v>
      </c>
      <c r="F145" s="9">
        <f t="shared" ca="1" si="26"/>
        <v>320.10278900957348</v>
      </c>
      <c r="G145" s="6">
        <f t="shared" ca="1" si="27"/>
        <v>320.09513500769913</v>
      </c>
      <c r="H145" s="6">
        <f t="shared" ca="1" si="28"/>
        <v>288.08562150692921</v>
      </c>
      <c r="I145" s="9">
        <f t="shared" ca="1" si="32"/>
        <v>7.6540018743571636E-3</v>
      </c>
      <c r="J145" s="6">
        <f t="shared" ca="1" si="33"/>
        <v>640.18981077528633</v>
      </c>
      <c r="K145" s="9">
        <f t="shared" ca="1" si="34"/>
        <v>640.19746477716069</v>
      </c>
      <c r="L145" s="6">
        <f t="shared" ca="1" si="35"/>
        <v>928.2830862840899</v>
      </c>
      <c r="N145" s="9"/>
      <c r="O145" s="9"/>
      <c r="P145" s="9"/>
    </row>
    <row r="146" spans="1:16" x14ac:dyDescent="0.2">
      <c r="A146">
        <f t="shared" si="25"/>
        <v>145</v>
      </c>
      <c r="B146" s="5">
        <f t="shared" ca="1" si="29"/>
        <v>145</v>
      </c>
      <c r="C146" s="6">
        <f t="shared" ca="1" si="31"/>
        <v>10029.64036881281</v>
      </c>
      <c r="D146" s="20">
        <f t="shared" ca="1" si="30"/>
        <v>7.1762874559099243E-3</v>
      </c>
      <c r="E146" s="19">
        <f t="shared" ca="1" si="24"/>
        <v>6.0000000000000053E-2</v>
      </c>
      <c r="F146" s="9">
        <f t="shared" ca="1" si="26"/>
        <v>300.89640582098508</v>
      </c>
      <c r="G146" s="6">
        <f t="shared" ca="1" si="27"/>
        <v>300.88921106438431</v>
      </c>
      <c r="H146" s="6">
        <f t="shared" ca="1" si="28"/>
        <v>270.80028995794589</v>
      </c>
      <c r="I146" s="9">
        <f t="shared" ca="1" si="32"/>
        <v>7.1947566007679598E-3</v>
      </c>
      <c r="J146" s="6">
        <f t="shared" ca="1" si="33"/>
        <v>601.77799044337303</v>
      </c>
      <c r="K146" s="9">
        <f t="shared" ca="1" si="34"/>
        <v>601.78518519997374</v>
      </c>
      <c r="L146" s="6">
        <f t="shared" ca="1" si="35"/>
        <v>872.58547515791963</v>
      </c>
      <c r="N146" s="9"/>
      <c r="O146" s="9"/>
      <c r="P146" s="9"/>
    </row>
    <row r="147" spans="1:16" x14ac:dyDescent="0.2">
      <c r="A147">
        <f t="shared" si="25"/>
        <v>146</v>
      </c>
      <c r="B147" s="5">
        <f t="shared" ca="1" si="29"/>
        <v>146</v>
      </c>
      <c r="C147" s="6">
        <f t="shared" ca="1" si="31"/>
        <v>9427.8551836128372</v>
      </c>
      <c r="D147" s="20">
        <f t="shared" ca="1" si="30"/>
        <v>7.1762874559099243E-3</v>
      </c>
      <c r="E147" s="19">
        <f t="shared" ca="1" si="24"/>
        <v>6.0000000000000053E-2</v>
      </c>
      <c r="F147" s="9">
        <f t="shared" ca="1" si="26"/>
        <v>282.84241857473836</v>
      </c>
      <c r="G147" s="6">
        <f t="shared" ca="1" si="27"/>
        <v>282.83565550838512</v>
      </c>
      <c r="H147" s="6">
        <f t="shared" ca="1" si="28"/>
        <v>254.5520899575466</v>
      </c>
      <c r="I147" s="9">
        <f t="shared" ca="1" si="32"/>
        <v>6.7630663532440849E-3</v>
      </c>
      <c r="J147" s="6">
        <f t="shared" ca="1" si="33"/>
        <v>565.67090523278955</v>
      </c>
      <c r="K147" s="9">
        <f t="shared" ca="1" si="34"/>
        <v>565.67766829914285</v>
      </c>
      <c r="L147" s="6">
        <f t="shared" ca="1" si="35"/>
        <v>820.22975825668948</v>
      </c>
      <c r="N147" s="9"/>
      <c r="O147" s="9"/>
      <c r="P147" s="9"/>
    </row>
    <row r="148" spans="1:16" x14ac:dyDescent="0.2">
      <c r="A148">
        <f t="shared" si="25"/>
        <v>147</v>
      </c>
      <c r="B148" s="5">
        <f t="shared" ca="1" si="29"/>
        <v>147</v>
      </c>
      <c r="C148" s="6">
        <f t="shared" ca="1" si="31"/>
        <v>8862.177515313695</v>
      </c>
      <c r="D148" s="20">
        <f t="shared" ca="1" si="30"/>
        <v>7.1762874559099243E-3</v>
      </c>
      <c r="E148" s="19">
        <f t="shared" ca="1" si="24"/>
        <v>6.0000000000000053E-2</v>
      </c>
      <c r="F148" s="9">
        <f t="shared" ca="1" si="26"/>
        <v>265.8716827372225</v>
      </c>
      <c r="G148" s="6">
        <f t="shared" ca="1" si="27"/>
        <v>265.86532545941083</v>
      </c>
      <c r="H148" s="6">
        <f t="shared" ca="1" si="28"/>
        <v>239.27879291346977</v>
      </c>
      <c r="I148" s="9">
        <f t="shared" ca="1" si="32"/>
        <v>6.3572778116736117E-3</v>
      </c>
      <c r="J148" s="6">
        <f t="shared" ca="1" si="33"/>
        <v>531.73026948215352</v>
      </c>
      <c r="K148" s="9">
        <f t="shared" ca="1" si="34"/>
        <v>531.73662675996525</v>
      </c>
      <c r="L148" s="6">
        <f t="shared" ca="1" si="35"/>
        <v>771.01541967343496</v>
      </c>
      <c r="N148" s="9"/>
      <c r="O148" s="9"/>
      <c r="P148" s="9"/>
    </row>
    <row r="149" spans="1:16" x14ac:dyDescent="0.2">
      <c r="A149">
        <f t="shared" si="25"/>
        <v>148</v>
      </c>
      <c r="B149" s="5">
        <f t="shared" ca="1" si="29"/>
        <v>148</v>
      </c>
      <c r="C149" s="6">
        <f t="shared" ca="1" si="31"/>
        <v>8330.4408885537305</v>
      </c>
      <c r="D149" s="20">
        <f t="shared" ca="1" si="30"/>
        <v>7.1762874559099243E-3</v>
      </c>
      <c r="E149" s="19">
        <f t="shared" ca="1" si="24"/>
        <v>6.0000000000000053E-2</v>
      </c>
      <c r="F149" s="9">
        <f t="shared" ca="1" si="26"/>
        <v>249.91920249346811</v>
      </c>
      <c r="G149" s="6">
        <f t="shared" ca="1" si="27"/>
        <v>249.9132266566119</v>
      </c>
      <c r="H149" s="6">
        <f t="shared" ca="1" si="28"/>
        <v>224.92190399095071</v>
      </c>
      <c r="I149" s="9">
        <f t="shared" ca="1" si="32"/>
        <v>5.9758368562086162E-3</v>
      </c>
      <c r="J149" s="6">
        <f t="shared" ca="1" si="33"/>
        <v>499.82609476301286</v>
      </c>
      <c r="K149" s="9">
        <f t="shared" ca="1" si="34"/>
        <v>499.8320705998691</v>
      </c>
      <c r="L149" s="6">
        <f t="shared" ca="1" si="35"/>
        <v>724.75397459081978</v>
      </c>
      <c r="N149" s="9"/>
      <c r="O149" s="9"/>
      <c r="P149" s="9"/>
    </row>
    <row r="150" spans="1:16" x14ac:dyDescent="0.2">
      <c r="A150">
        <f t="shared" si="25"/>
        <v>149</v>
      </c>
      <c r="B150" s="5">
        <f t="shared" ca="1" si="29"/>
        <v>149</v>
      </c>
      <c r="C150" s="6">
        <f t="shared" ca="1" si="31"/>
        <v>7830.608817953861</v>
      </c>
      <c r="D150" s="20">
        <f t="shared" ca="1" si="30"/>
        <v>7.1762874559099243E-3</v>
      </c>
      <c r="E150" s="19">
        <f t="shared" ca="1" si="24"/>
        <v>6.0000000000000053E-2</v>
      </c>
      <c r="F150" s="9">
        <f t="shared" ca="1" si="26"/>
        <v>234.92388182123108</v>
      </c>
      <c r="G150" s="6">
        <f t="shared" ca="1" si="27"/>
        <v>234.91826453861583</v>
      </c>
      <c r="H150" s="6">
        <f t="shared" ca="1" si="28"/>
        <v>211.42643808475424</v>
      </c>
      <c r="I150" s="9">
        <f t="shared" ca="1" si="32"/>
        <v>5.6172826152476318E-3</v>
      </c>
      <c r="J150" s="6">
        <f t="shared" ca="1" si="33"/>
        <v>469.83619204027514</v>
      </c>
      <c r="K150" s="9">
        <f t="shared" ca="1" si="34"/>
        <v>469.84180932289041</v>
      </c>
      <c r="L150" s="6">
        <f t="shared" ca="1" si="35"/>
        <v>681.26824740764459</v>
      </c>
      <c r="N150" s="9"/>
      <c r="O150" s="9"/>
      <c r="P150" s="9"/>
    </row>
    <row r="151" spans="1:16" x14ac:dyDescent="0.2">
      <c r="A151">
        <f t="shared" si="25"/>
        <v>150</v>
      </c>
      <c r="B151" s="5">
        <f t="shared" ca="1" si="29"/>
        <v>150</v>
      </c>
      <c r="C151" s="6">
        <f t="shared" ca="1" si="31"/>
        <v>7360.7670086309708</v>
      </c>
      <c r="D151" s="20">
        <f t="shared" ca="1" si="30"/>
        <v>7.1762874559099243E-3</v>
      </c>
      <c r="E151" s="19">
        <f t="shared" ca="1" si="24"/>
        <v>6.0000000000000053E-2</v>
      </c>
      <c r="F151" s="9">
        <f t="shared" ca="1" si="26"/>
        <v>220.82829050079968</v>
      </c>
      <c r="G151" s="6">
        <f t="shared" ca="1" si="27"/>
        <v>220.82301025892912</v>
      </c>
      <c r="H151" s="6">
        <f t="shared" ca="1" si="28"/>
        <v>198.7407092330362</v>
      </c>
      <c r="I151" s="9">
        <f t="shared" ca="1" si="32"/>
        <v>5.2802418705653054E-3</v>
      </c>
      <c r="J151" s="6">
        <f t="shared" ca="1" si="33"/>
        <v>441.64570370334644</v>
      </c>
      <c r="K151" s="9">
        <f t="shared" ca="1" si="34"/>
        <v>441.65098394521704</v>
      </c>
      <c r="L151" s="6">
        <f t="shared" ca="1" si="35"/>
        <v>640.39169317825326</v>
      </c>
      <c r="N151" s="9"/>
      <c r="O151" s="9"/>
      <c r="P151" s="9"/>
    </row>
    <row r="152" spans="1:16" x14ac:dyDescent="0.2">
      <c r="A152">
        <f t="shared" si="25"/>
        <v>151</v>
      </c>
      <c r="B152" s="5">
        <f t="shared" ca="1" si="29"/>
        <v>151</v>
      </c>
      <c r="C152" s="6">
        <f t="shared" ca="1" si="31"/>
        <v>6919.1160246857535</v>
      </c>
      <c r="D152" s="20">
        <f t="shared" ca="1" si="30"/>
        <v>7.1762874559099243E-3</v>
      </c>
      <c r="E152" s="19">
        <f t="shared" ca="1" si="24"/>
        <v>6.0000000000000053E-2</v>
      </c>
      <c r="F152" s="9">
        <f t="shared" ca="1" si="26"/>
        <v>207.57844416437041</v>
      </c>
      <c r="G152" s="6">
        <f t="shared" ca="1" si="27"/>
        <v>207.57348074057259</v>
      </c>
      <c r="H152" s="6">
        <f t="shared" ca="1" si="28"/>
        <v>186.81613266651533</v>
      </c>
      <c r="I152" s="9">
        <f t="shared" ca="1" si="32"/>
        <v>4.9634237978182227E-3</v>
      </c>
      <c r="J152" s="6">
        <f t="shared" ca="1" si="33"/>
        <v>415.14666367571772</v>
      </c>
      <c r="K152" s="9">
        <f t="shared" ca="1" si="34"/>
        <v>415.15162709951551</v>
      </c>
      <c r="L152" s="6">
        <f t="shared" ca="1" si="35"/>
        <v>601.96775976603089</v>
      </c>
      <c r="N152" s="9"/>
      <c r="O152" s="9"/>
      <c r="P152" s="9"/>
    </row>
    <row r="153" spans="1:16" x14ac:dyDescent="0.2">
      <c r="A153">
        <f t="shared" si="25"/>
        <v>152</v>
      </c>
      <c r="B153" s="5">
        <f t="shared" ca="1" si="29"/>
        <v>152</v>
      </c>
      <c r="C153" s="6">
        <f t="shared" ca="1" si="31"/>
        <v>6503.9643975862382</v>
      </c>
      <c r="D153" s="20">
        <f t="shared" ca="1" si="30"/>
        <v>7.1762874559099243E-3</v>
      </c>
      <c r="E153" s="19">
        <f t="shared" ca="1" si="24"/>
        <v>6.0000000000000053E-2</v>
      </c>
      <c r="F153" s="9">
        <f t="shared" ca="1" si="26"/>
        <v>195.12359754261021</v>
      </c>
      <c r="G153" s="6">
        <f t="shared" ca="1" si="27"/>
        <v>195.11893192758714</v>
      </c>
      <c r="H153" s="6">
        <f t="shared" ca="1" si="28"/>
        <v>175.60703873482842</v>
      </c>
      <c r="I153" s="9">
        <f t="shared" ca="1" si="32"/>
        <v>4.665615023071723E-3</v>
      </c>
      <c r="J153" s="6">
        <f t="shared" ca="1" si="33"/>
        <v>390.23758391827323</v>
      </c>
      <c r="K153" s="9">
        <f t="shared" ca="1" si="34"/>
        <v>390.24224953329633</v>
      </c>
      <c r="L153" s="6">
        <f t="shared" ca="1" si="35"/>
        <v>565.84928826812472</v>
      </c>
      <c r="N153" s="9"/>
      <c r="O153" s="9"/>
      <c r="P153" s="9"/>
    </row>
    <row r="154" spans="1:16" x14ac:dyDescent="0.2">
      <c r="A154">
        <f t="shared" si="25"/>
        <v>153</v>
      </c>
      <c r="B154" s="5">
        <f t="shared" ca="1" si="29"/>
        <v>153</v>
      </c>
      <c r="C154" s="6">
        <f t="shared" ca="1" si="31"/>
        <v>6113.7221480529415</v>
      </c>
      <c r="D154" s="20">
        <f t="shared" ca="1" si="30"/>
        <v>7.1762874559099243E-3</v>
      </c>
      <c r="E154" s="19">
        <f t="shared" ca="1" si="24"/>
        <v>6.0000000000000053E-2</v>
      </c>
      <c r="F154" s="9">
        <f t="shared" ca="1" si="26"/>
        <v>183.41605011656384</v>
      </c>
      <c r="G154" s="6">
        <f t="shared" ca="1" si="27"/>
        <v>183.41166444158824</v>
      </c>
      <c r="H154" s="6">
        <f t="shared" ca="1" si="28"/>
        <v>165.07049799742941</v>
      </c>
      <c r="I154" s="9">
        <f t="shared" ca="1" si="32"/>
        <v>4.3856749755946112E-3</v>
      </c>
      <c r="J154" s="6">
        <f t="shared" ca="1" si="33"/>
        <v>366.8230657426783</v>
      </c>
      <c r="K154" s="9">
        <f t="shared" ca="1" si="34"/>
        <v>366.82745141765389</v>
      </c>
      <c r="L154" s="6">
        <f t="shared" ca="1" si="35"/>
        <v>531.8979494150833</v>
      </c>
      <c r="N154" s="9"/>
      <c r="O154" s="9"/>
      <c r="P154" s="9"/>
    </row>
    <row r="155" spans="1:16" x14ac:dyDescent="0.2">
      <c r="A155">
        <f t="shared" si="25"/>
        <v>154</v>
      </c>
      <c r="B155" s="5">
        <f t="shared" ca="1" si="29"/>
        <v>154</v>
      </c>
      <c r="C155" s="6">
        <f t="shared" ca="1" si="31"/>
        <v>5746.8946966352878</v>
      </c>
      <c r="D155" s="20">
        <f t="shared" ca="1" si="30"/>
        <v>7.1762874559099243E-3</v>
      </c>
      <c r="E155" s="19">
        <f t="shared" ca="1" si="24"/>
        <v>6.0000000000000053E-2</v>
      </c>
      <c r="F155" s="9">
        <f t="shared" ca="1" si="26"/>
        <v>172.41096343057842</v>
      </c>
      <c r="G155" s="6">
        <f t="shared" ca="1" si="27"/>
        <v>172.40684089905864</v>
      </c>
      <c r="H155" s="6">
        <f t="shared" ca="1" si="28"/>
        <v>155.16615680915277</v>
      </c>
      <c r="I155" s="9">
        <f t="shared" ca="1" si="32"/>
        <v>4.1225315197834789E-3</v>
      </c>
      <c r="J155" s="6">
        <f t="shared" ca="1" si="33"/>
        <v>344.81343444622638</v>
      </c>
      <c r="K155" s="9">
        <f t="shared" ca="1" si="34"/>
        <v>344.81755697774616</v>
      </c>
      <c r="L155" s="6">
        <f t="shared" ca="1" si="35"/>
        <v>499.98371378689893</v>
      </c>
      <c r="N155" s="9"/>
      <c r="O155" s="9"/>
      <c r="P155" s="9"/>
    </row>
    <row r="156" spans="1:16" x14ac:dyDescent="0.2">
      <c r="A156">
        <f t="shared" si="25"/>
        <v>155</v>
      </c>
      <c r="B156" s="5">
        <f t="shared" ca="1" si="29"/>
        <v>155</v>
      </c>
      <c r="C156" s="6">
        <f t="shared" ca="1" si="31"/>
        <v>5402.0771396575419</v>
      </c>
      <c r="D156" s="20">
        <f t="shared" ca="1" si="30"/>
        <v>7.1762874559099243E-3</v>
      </c>
      <c r="E156" s="19">
        <f t="shared" ca="1" si="24"/>
        <v>6.0000000000000053E-2</v>
      </c>
      <c r="F156" s="9">
        <f t="shared" ca="1" si="26"/>
        <v>162.066189366575</v>
      </c>
      <c r="G156" s="6">
        <f t="shared" ca="1" si="27"/>
        <v>162.06231418972627</v>
      </c>
      <c r="H156" s="6">
        <f t="shared" ca="1" si="28"/>
        <v>145.85608277075363</v>
      </c>
      <c r="I156" s="9">
        <f t="shared" ca="1" si="32"/>
        <v>3.8751768487372829E-3</v>
      </c>
      <c r="J156" s="6">
        <f t="shared" ca="1" si="33"/>
        <v>324.12439586884187</v>
      </c>
      <c r="K156" s="9">
        <f t="shared" ca="1" si="34"/>
        <v>324.12827104569061</v>
      </c>
      <c r="L156" s="6">
        <f t="shared" ca="1" si="35"/>
        <v>469.98435381644424</v>
      </c>
      <c r="N156" s="9"/>
      <c r="O156" s="9"/>
      <c r="P156" s="9"/>
    </row>
    <row r="157" spans="1:16" x14ac:dyDescent="0.2">
      <c r="A157">
        <f t="shared" si="25"/>
        <v>156</v>
      </c>
      <c r="B157" s="5">
        <f t="shared" ca="1" si="29"/>
        <v>156</v>
      </c>
      <c r="C157" s="6">
        <f t="shared" ca="1" si="31"/>
        <v>5077.9488686118511</v>
      </c>
      <c r="D157" s="20">
        <f t="shared" ca="1" si="30"/>
        <v>7.1762874559099243E-3</v>
      </c>
      <c r="E157" s="19">
        <f t="shared" ca="1" si="24"/>
        <v>6.0000000000000053E-2</v>
      </c>
      <c r="F157" s="9">
        <f t="shared" ca="1" si="26"/>
        <v>152.34210872198028</v>
      </c>
      <c r="G157" s="6">
        <f t="shared" ca="1" si="27"/>
        <v>152.33846605835552</v>
      </c>
      <c r="H157" s="6">
        <f t="shared" ca="1" si="28"/>
        <v>137.10461945251998</v>
      </c>
      <c r="I157" s="9">
        <f t="shared" ca="1" si="32"/>
        <v>3.6426636247597344E-3</v>
      </c>
      <c r="J157" s="6">
        <f t="shared" ca="1" si="33"/>
        <v>304.67671355689384</v>
      </c>
      <c r="K157" s="9">
        <f t="shared" ca="1" si="34"/>
        <v>304.6803562205186</v>
      </c>
      <c r="L157" s="6">
        <f t="shared" ca="1" si="35"/>
        <v>441.78497567303862</v>
      </c>
      <c r="N157" s="9"/>
      <c r="O157" s="9"/>
      <c r="P157" s="9"/>
    </row>
    <row r="158" spans="1:16" x14ac:dyDescent="0.2">
      <c r="A158">
        <f t="shared" si="25"/>
        <v>157</v>
      </c>
      <c r="B158" s="5">
        <f t="shared" ca="1" si="29"/>
        <v>157</v>
      </c>
      <c r="C158" s="6">
        <f t="shared" ca="1" si="31"/>
        <v>4773.2685123913325</v>
      </c>
      <c r="D158" s="20">
        <f t="shared" ca="1" si="30"/>
        <v>7.1762874559099243E-3</v>
      </c>
      <c r="E158" s="19">
        <f t="shared" ca="1" si="24"/>
        <v>6.0000000000000053E-2</v>
      </c>
      <c r="F158" s="9">
        <f t="shared" ca="1" si="26"/>
        <v>143.20147947309096</v>
      </c>
      <c r="G158" s="6">
        <f t="shared" ca="1" si="27"/>
        <v>143.19805537173997</v>
      </c>
      <c r="H158" s="6">
        <f t="shared" ca="1" si="28"/>
        <v>128.87824983456596</v>
      </c>
      <c r="I158" s="9">
        <f t="shared" ca="1" si="32"/>
        <v>3.4241013509870299E-3</v>
      </c>
      <c r="J158" s="6">
        <f t="shared" ca="1" si="33"/>
        <v>286.39590529739917</v>
      </c>
      <c r="K158" s="9">
        <f t="shared" ca="1" si="34"/>
        <v>286.39932939875018</v>
      </c>
      <c r="L158" s="6">
        <f t="shared" ca="1" si="35"/>
        <v>415.27757923331615</v>
      </c>
      <c r="N158" s="9"/>
      <c r="O158" s="9"/>
      <c r="P158" s="9"/>
    </row>
    <row r="159" spans="1:16" x14ac:dyDescent="0.2">
      <c r="A159">
        <f t="shared" si="25"/>
        <v>158</v>
      </c>
      <c r="B159" s="5">
        <f t="shared" ca="1" si="29"/>
        <v>158</v>
      </c>
      <c r="C159" s="6">
        <f t="shared" ca="1" si="31"/>
        <v>4486.869182992582</v>
      </c>
      <c r="D159" s="20">
        <f t="shared" ca="1" si="30"/>
        <v>7.1762874559099243E-3</v>
      </c>
      <c r="E159" s="19">
        <f t="shared" ca="1" si="24"/>
        <v>6.0000000000000053E-2</v>
      </c>
      <c r="F159" s="9">
        <f t="shared" ca="1" si="26"/>
        <v>134.60929414273849</v>
      </c>
      <c r="G159" s="6">
        <f t="shared" ca="1" si="27"/>
        <v>134.60607548977745</v>
      </c>
      <c r="H159" s="6">
        <f t="shared" ca="1" si="28"/>
        <v>121.1454679407997</v>
      </c>
      <c r="I159" s="9">
        <f t="shared" ca="1" si="32"/>
        <v>3.2186529610385151E-3</v>
      </c>
      <c r="J159" s="6">
        <f t="shared" ca="1" si="33"/>
        <v>269.21195786037754</v>
      </c>
      <c r="K159" s="9">
        <f t="shared" ca="1" si="34"/>
        <v>269.21517651333858</v>
      </c>
      <c r="L159" s="6">
        <f t="shared" ca="1" si="35"/>
        <v>390.36064445413831</v>
      </c>
      <c r="N159" s="9"/>
      <c r="O159" s="9"/>
      <c r="P159" s="9"/>
    </row>
    <row r="160" spans="1:16" x14ac:dyDescent="0.2">
      <c r="A160">
        <f t="shared" si="25"/>
        <v>159</v>
      </c>
      <c r="B160" s="5">
        <f t="shared" ca="1" si="29"/>
        <v>159</v>
      </c>
      <c r="C160" s="6">
        <f t="shared" ca="1" si="31"/>
        <v>4217.6540064792434</v>
      </c>
      <c r="D160" s="20">
        <f t="shared" ca="1" si="30"/>
        <v>7.1762874559099243E-3</v>
      </c>
      <c r="E160" s="19">
        <f t="shared" ca="1" si="24"/>
        <v>6.0000000000000053E-2</v>
      </c>
      <c r="F160" s="9">
        <f t="shared" ca="1" si="26"/>
        <v>126.53264572599031</v>
      </c>
      <c r="G160" s="6">
        <f t="shared" ca="1" si="27"/>
        <v>126.5296201943773</v>
      </c>
      <c r="H160" s="6">
        <f t="shared" ca="1" si="28"/>
        <v>113.87665817493958</v>
      </c>
      <c r="I160" s="9">
        <f t="shared" ca="1" si="32"/>
        <v>3.0255316130052279E-3</v>
      </c>
      <c r="J160" s="6">
        <f t="shared" ca="1" si="33"/>
        <v>253.05905885685803</v>
      </c>
      <c r="K160" s="9">
        <f t="shared" ca="1" si="34"/>
        <v>253.06208438847102</v>
      </c>
      <c r="L160" s="6">
        <f t="shared" ca="1" si="35"/>
        <v>366.93874256341059</v>
      </c>
      <c r="N160" s="9"/>
      <c r="O160" s="9"/>
      <c r="P160" s="9"/>
    </row>
    <row r="161" spans="1:16" x14ac:dyDescent="0.2">
      <c r="A161">
        <f t="shared" si="25"/>
        <v>160</v>
      </c>
      <c r="B161" s="5">
        <f t="shared" ca="1" si="29"/>
        <v>160</v>
      </c>
      <c r="C161" s="6">
        <f t="shared" ca="1" si="31"/>
        <v>3964.5919220907726</v>
      </c>
      <c r="D161" s="20">
        <f t="shared" ca="1" si="30"/>
        <v>7.1762874559099243E-3</v>
      </c>
      <c r="E161" s="19">
        <f t="shared" ref="E161:E224" ca="1" si="36">IFERROR(E160,0)</f>
        <v>6.0000000000000053E-2</v>
      </c>
      <c r="F161" s="9">
        <f t="shared" ca="1" si="26"/>
        <v>118.94060166039925</v>
      </c>
      <c r="G161" s="6">
        <f t="shared" ca="1" si="27"/>
        <v>118.93775766272317</v>
      </c>
      <c r="H161" s="6">
        <f t="shared" ca="1" si="28"/>
        <v>107.04398189645086</v>
      </c>
      <c r="I161" s="9">
        <f t="shared" ca="1" si="32"/>
        <v>2.8439976760807895E-3</v>
      </c>
      <c r="J161" s="6">
        <f t="shared" ca="1" si="33"/>
        <v>237.87534468558601</v>
      </c>
      <c r="K161" s="9">
        <f t="shared" ca="1" si="34"/>
        <v>237.8781886832621</v>
      </c>
      <c r="L161" s="6">
        <f t="shared" ca="1" si="35"/>
        <v>344.92217057971294</v>
      </c>
      <c r="N161" s="9"/>
      <c r="O161" s="9"/>
      <c r="P161" s="9"/>
    </row>
    <row r="162" spans="1:16" x14ac:dyDescent="0.2">
      <c r="A162">
        <f t="shared" si="25"/>
        <v>161</v>
      </c>
      <c r="B162" s="5">
        <f t="shared" ca="1" si="29"/>
        <v>161</v>
      </c>
      <c r="C162" s="6">
        <f t="shared" ca="1" si="31"/>
        <v>3726.7137334075105</v>
      </c>
      <c r="D162" s="20">
        <f t="shared" ca="1" si="30"/>
        <v>7.1762874559099243E-3</v>
      </c>
      <c r="E162" s="19">
        <f t="shared" ca="1" si="36"/>
        <v>6.0000000000000053E-2</v>
      </c>
      <c r="F162" s="9">
        <f t="shared" ca="1" si="26"/>
        <v>111.80408535812309</v>
      </c>
      <c r="G162" s="6">
        <f t="shared" ca="1" si="27"/>
        <v>111.80141200222531</v>
      </c>
      <c r="H162" s="6">
        <f t="shared" ca="1" si="28"/>
        <v>100.62127080200278</v>
      </c>
      <c r="I162" s="9">
        <f t="shared" ca="1" si="32"/>
        <v>2.6733558977838356E-3</v>
      </c>
      <c r="J162" s="6">
        <f t="shared" ca="1" si="33"/>
        <v>223.60266360309694</v>
      </c>
      <c r="K162" s="9">
        <f t="shared" ca="1" si="34"/>
        <v>223.60533695899471</v>
      </c>
      <c r="L162" s="6">
        <f t="shared" ca="1" si="35"/>
        <v>324.22660776099747</v>
      </c>
      <c r="N162" s="9"/>
      <c r="O162" s="9"/>
      <c r="P162" s="9"/>
    </row>
    <row r="163" spans="1:16" x14ac:dyDescent="0.2">
      <c r="A163">
        <f t="shared" si="25"/>
        <v>162</v>
      </c>
      <c r="B163" s="5">
        <f t="shared" ca="1" si="29"/>
        <v>162</v>
      </c>
      <c r="C163" s="6">
        <f t="shared" ca="1" si="31"/>
        <v>3503.108396448516</v>
      </c>
      <c r="D163" s="20">
        <f t="shared" ca="1" si="30"/>
        <v>7.1762874559099243E-3</v>
      </c>
      <c r="E163" s="19">
        <f t="shared" ca="1" si="36"/>
        <v>6.0000000000000053E-2</v>
      </c>
      <c r="F163" s="9">
        <f t="shared" ca="1" si="26"/>
        <v>105.09576484619673</v>
      </c>
      <c r="G163" s="6">
        <f t="shared" ca="1" si="27"/>
        <v>105.09325189345547</v>
      </c>
      <c r="H163" s="6">
        <f t="shared" ca="1" si="28"/>
        <v>94.583926704109928</v>
      </c>
      <c r="I163" s="9">
        <f t="shared" ca="1" si="32"/>
        <v>2.5129527412559582E-3</v>
      </c>
      <c r="J163" s="6">
        <f t="shared" ca="1" si="33"/>
        <v>210.18635300974668</v>
      </c>
      <c r="K163" s="9">
        <f t="shared" ca="1" si="34"/>
        <v>210.18886596248794</v>
      </c>
      <c r="L163" s="6">
        <f t="shared" ca="1" si="35"/>
        <v>304.77279266659787</v>
      </c>
      <c r="N163" s="9"/>
      <c r="O163" s="9"/>
      <c r="P163" s="9"/>
    </row>
    <row r="164" spans="1:16" x14ac:dyDescent="0.2">
      <c r="A164">
        <f t="shared" si="25"/>
        <v>163</v>
      </c>
      <c r="B164" s="5">
        <f t="shared" ca="1" si="29"/>
        <v>163</v>
      </c>
      <c r="C164" s="6">
        <f t="shared" ca="1" si="31"/>
        <v>3292.9195304860282</v>
      </c>
      <c r="D164" s="20">
        <f t="shared" ca="1" si="30"/>
        <v>7.1762874559099243E-3</v>
      </c>
      <c r="E164" s="19">
        <f t="shared" ca="1" si="36"/>
        <v>6.0000000000000053E-2</v>
      </c>
      <c r="F164" s="9">
        <f t="shared" ca="1" si="26"/>
        <v>98.789948088463106</v>
      </c>
      <c r="G164" s="6">
        <f t="shared" ca="1" si="27"/>
        <v>98.787585914580845</v>
      </c>
      <c r="H164" s="6">
        <f t="shared" ca="1" si="28"/>
        <v>88.908827323122765</v>
      </c>
      <c r="I164" s="9">
        <f t="shared" ca="1" si="32"/>
        <v>2.3621738822612315E-3</v>
      </c>
      <c r="J164" s="6">
        <f t="shared" ca="1" si="33"/>
        <v>197.57503009872892</v>
      </c>
      <c r="K164" s="9">
        <f t="shared" ca="1" si="34"/>
        <v>197.57739227261118</v>
      </c>
      <c r="L164" s="6">
        <f t="shared" ca="1" si="35"/>
        <v>286.48621959573393</v>
      </c>
      <c r="N164" s="9"/>
      <c r="O164" s="9"/>
      <c r="P164" s="9"/>
    </row>
    <row r="165" spans="1:16" x14ac:dyDescent="0.2">
      <c r="A165">
        <f t="shared" si="25"/>
        <v>164</v>
      </c>
      <c r="B165" s="5">
        <f t="shared" ca="1" si="29"/>
        <v>164</v>
      </c>
      <c r="C165" s="6">
        <f t="shared" ca="1" si="31"/>
        <v>3095.342138213417</v>
      </c>
      <c r="D165" s="20">
        <f t="shared" ca="1" si="30"/>
        <v>7.1762874559099243E-3</v>
      </c>
      <c r="E165" s="19">
        <f t="shared" ca="1" si="36"/>
        <v>6.0000000000000053E-2</v>
      </c>
      <c r="F165" s="9">
        <f t="shared" ca="1" si="26"/>
        <v>92.862484588259008</v>
      </c>
      <c r="G165" s="6">
        <f t="shared" ca="1" si="27"/>
        <v>92.8602641464025</v>
      </c>
      <c r="H165" s="6">
        <f t="shared" ca="1" si="28"/>
        <v>83.574237731762253</v>
      </c>
      <c r="I165" s="9">
        <f t="shared" ca="1" si="32"/>
        <v>2.2204418565081596E-3</v>
      </c>
      <c r="J165" s="6">
        <f t="shared" ca="1" si="33"/>
        <v>185.7203950662938</v>
      </c>
      <c r="K165" s="9">
        <f t="shared" ca="1" si="34"/>
        <v>185.72261550815031</v>
      </c>
      <c r="L165" s="6">
        <f t="shared" ca="1" si="35"/>
        <v>269.29685323991259</v>
      </c>
      <c r="N165" s="9"/>
      <c r="O165" s="9"/>
      <c r="P165" s="9"/>
    </row>
    <row r="166" spans="1:16" x14ac:dyDescent="0.2">
      <c r="A166">
        <f t="shared" si="25"/>
        <v>165</v>
      </c>
      <c r="B166" s="5">
        <f t="shared" ca="1" si="29"/>
        <v>165</v>
      </c>
      <c r="C166" s="6">
        <f t="shared" ca="1" si="31"/>
        <v>2909.6195227052667</v>
      </c>
      <c r="D166" s="20">
        <f t="shared" ca="1" si="30"/>
        <v>7.1762874559099243E-3</v>
      </c>
      <c r="E166" s="19">
        <f t="shared" ca="1" si="36"/>
        <v>6.0000000000000053E-2</v>
      </c>
      <c r="F166" s="9">
        <f t="shared" ca="1" si="26"/>
        <v>87.290672895005841</v>
      </c>
      <c r="G166" s="6">
        <f t="shared" ca="1" si="27"/>
        <v>87.288585681157997</v>
      </c>
      <c r="H166" s="6">
        <f t="shared" ca="1" si="28"/>
        <v>78.5597271130422</v>
      </c>
      <c r="I166" s="9">
        <f t="shared" ca="1" si="32"/>
        <v>2.0872138478438274E-3</v>
      </c>
      <c r="J166" s="6">
        <f t="shared" ca="1" si="33"/>
        <v>174.57704612948527</v>
      </c>
      <c r="K166" s="9">
        <f t="shared" ca="1" si="34"/>
        <v>174.57913334333313</v>
      </c>
      <c r="L166" s="6">
        <f t="shared" ca="1" si="35"/>
        <v>253.13886045637531</v>
      </c>
      <c r="N166" s="9"/>
      <c r="O166" s="9"/>
      <c r="P166" s="9"/>
    </row>
    <row r="167" spans="1:16" x14ac:dyDescent="0.2">
      <c r="A167">
        <f t="shared" si="25"/>
        <v>166</v>
      </c>
      <c r="B167" s="5">
        <f t="shared" ca="1" si="29"/>
        <v>166</v>
      </c>
      <c r="C167" s="6">
        <f t="shared" ca="1" si="31"/>
        <v>2735.0403893619336</v>
      </c>
      <c r="D167" s="20">
        <f t="shared" ca="1" si="30"/>
        <v>7.1762874559099243E-3</v>
      </c>
      <c r="E167" s="19">
        <f t="shared" ca="1" si="36"/>
        <v>6.0000000000000053E-2</v>
      </c>
      <c r="F167" s="9">
        <f t="shared" ca="1" si="26"/>
        <v>82.05317366046755</v>
      </c>
      <c r="G167" s="6">
        <f t="shared" ca="1" si="27"/>
        <v>82.051211680858003</v>
      </c>
      <c r="H167" s="6">
        <f t="shared" ca="1" si="28"/>
        <v>73.846090512772207</v>
      </c>
      <c r="I167" s="9">
        <f t="shared" ca="1" si="32"/>
        <v>1.9619796095469155E-3</v>
      </c>
      <c r="J167" s="6">
        <f t="shared" ca="1" si="33"/>
        <v>164.1023056429396</v>
      </c>
      <c r="K167" s="9">
        <f t="shared" ca="1" si="34"/>
        <v>164.10426762254914</v>
      </c>
      <c r="L167" s="6">
        <f t="shared" ca="1" si="35"/>
        <v>237.95035813532135</v>
      </c>
      <c r="N167" s="9"/>
      <c r="O167" s="9"/>
      <c r="P167" s="9"/>
    </row>
    <row r="168" spans="1:16" x14ac:dyDescent="0.2">
      <c r="A168">
        <f t="shared" si="25"/>
        <v>167</v>
      </c>
      <c r="B168" s="5">
        <f t="shared" ca="1" si="29"/>
        <v>167</v>
      </c>
      <c r="C168" s="6">
        <f t="shared" ca="1" si="31"/>
        <v>2570.9361217393844</v>
      </c>
      <c r="D168" s="20">
        <f t="shared" ca="1" si="30"/>
        <v>7.1762874559099243E-3</v>
      </c>
      <c r="E168" s="19">
        <f t="shared" ca="1" si="36"/>
        <v>6.0000000000000053E-2</v>
      </c>
      <c r="F168" s="9">
        <f t="shared" ca="1" si="26"/>
        <v>77.129927911691524</v>
      </c>
      <c r="G168" s="6">
        <f t="shared" ca="1" si="27"/>
        <v>77.12808365218153</v>
      </c>
      <c r="H168" s="6">
        <f t="shared" ca="1" si="28"/>
        <v>69.415275286963379</v>
      </c>
      <c r="I168" s="9">
        <f t="shared" ca="1" si="32"/>
        <v>1.8442595099941173E-3</v>
      </c>
      <c r="J168" s="6">
        <f t="shared" ca="1" si="33"/>
        <v>154.25605664879259</v>
      </c>
      <c r="K168" s="9">
        <f t="shared" ca="1" si="34"/>
        <v>154.25790090830259</v>
      </c>
      <c r="L168" s="6">
        <f t="shared" ca="1" si="35"/>
        <v>223.67317619526597</v>
      </c>
      <c r="N168" s="9"/>
      <c r="O168" s="9"/>
      <c r="P168" s="9"/>
    </row>
    <row r="169" spans="1:16" x14ac:dyDescent="0.2">
      <c r="A169">
        <f t="shared" si="25"/>
        <v>168</v>
      </c>
      <c r="B169" s="5">
        <f t="shared" ca="1" si="29"/>
        <v>168</v>
      </c>
      <c r="C169" s="6">
        <f t="shared" ca="1" si="31"/>
        <v>2416.6782208310819</v>
      </c>
      <c r="D169" s="20">
        <f t="shared" ca="1" si="30"/>
        <v>7.1762874559099243E-3</v>
      </c>
      <c r="E169" s="19">
        <f t="shared" ca="1" si="36"/>
        <v>6.0000000000000053E-2</v>
      </c>
      <c r="F169" s="9">
        <f t="shared" ca="1" si="26"/>
        <v>72.502080227628255</v>
      </c>
      <c r="G169" s="6">
        <f t="shared" ca="1" si="27"/>
        <v>72.500346624932462</v>
      </c>
      <c r="H169" s="6">
        <f t="shared" ca="1" si="28"/>
        <v>65.250311962439213</v>
      </c>
      <c r="I169" s="9">
        <f t="shared" ca="1" si="32"/>
        <v>1.7336026957934791E-3</v>
      </c>
      <c r="J169" s="6">
        <f t="shared" ca="1" si="33"/>
        <v>145.00058923370329</v>
      </c>
      <c r="K169" s="9">
        <f t="shared" ca="1" si="34"/>
        <v>145.00232283639909</v>
      </c>
      <c r="L169" s="6">
        <f t="shared" ca="1" si="35"/>
        <v>210.2526347988383</v>
      </c>
      <c r="N169" s="9"/>
      <c r="O169" s="9"/>
      <c r="P169" s="9"/>
    </row>
    <row r="170" spans="1:16" x14ac:dyDescent="0.2">
      <c r="A170">
        <f t="shared" si="25"/>
        <v>169</v>
      </c>
      <c r="B170" s="5">
        <f t="shared" ca="1" si="29"/>
        <v>169</v>
      </c>
      <c r="C170" s="6">
        <f t="shared" ca="1" si="31"/>
        <v>2271.6758979946831</v>
      </c>
      <c r="D170" s="20">
        <f t="shared" ca="1" si="30"/>
        <v>7.1762874559099243E-3</v>
      </c>
      <c r="E170" s="19">
        <f t="shared" ca="1" si="36"/>
        <v>6.0000000000000053E-2</v>
      </c>
      <c r="F170" s="9">
        <f t="shared" ca="1" si="26"/>
        <v>68.151906525205561</v>
      </c>
      <c r="G170" s="6">
        <f t="shared" ca="1" si="27"/>
        <v>68.150276939840495</v>
      </c>
      <c r="H170" s="6">
        <f t="shared" ca="1" si="28"/>
        <v>61.335249245856438</v>
      </c>
      <c r="I170" s="9">
        <f t="shared" ca="1" si="32"/>
        <v>1.6295853650660774E-3</v>
      </c>
      <c r="J170" s="6">
        <f t="shared" ca="1" si="33"/>
        <v>136.3004561045592</v>
      </c>
      <c r="K170" s="9">
        <f t="shared" ca="1" si="34"/>
        <v>136.30208568992427</v>
      </c>
      <c r="L170" s="6">
        <f t="shared" ca="1" si="35"/>
        <v>197.6373349357807</v>
      </c>
      <c r="N170" s="9"/>
      <c r="O170" s="9"/>
      <c r="P170" s="9"/>
    </row>
    <row r="171" spans="1:16" x14ac:dyDescent="0.2">
      <c r="A171">
        <f t="shared" si="25"/>
        <v>170</v>
      </c>
      <c r="B171" s="5">
        <f t="shared" ca="1" si="29"/>
        <v>170</v>
      </c>
      <c r="C171" s="6">
        <f t="shared" ca="1" si="31"/>
        <v>2135.3738123047588</v>
      </c>
      <c r="D171" s="20">
        <f t="shared" ca="1" si="30"/>
        <v>7.1762874559099243E-3</v>
      </c>
      <c r="E171" s="19">
        <f t="shared" ca="1" si="36"/>
        <v>6.0000000000000053E-2</v>
      </c>
      <c r="F171" s="9">
        <f t="shared" ca="1" si="26"/>
        <v>64.062746178287071</v>
      </c>
      <c r="G171" s="6">
        <f t="shared" ca="1" si="27"/>
        <v>64.06121436914276</v>
      </c>
      <c r="H171" s="6">
        <f t="shared" ca="1" si="28"/>
        <v>57.655092932228484</v>
      </c>
      <c r="I171" s="9">
        <f t="shared" ca="1" si="32"/>
        <v>1.5318091443106141E-3</v>
      </c>
      <c r="J171" s="6">
        <f t="shared" ca="1" si="33"/>
        <v>128.12233682973698</v>
      </c>
      <c r="K171" s="9">
        <f t="shared" ca="1" si="34"/>
        <v>128.12386863888128</v>
      </c>
      <c r="L171" s="6">
        <f t="shared" ca="1" si="35"/>
        <v>185.77896157110976</v>
      </c>
      <c r="N171" s="9"/>
      <c r="O171" s="9"/>
      <c r="P171" s="9"/>
    </row>
    <row r="172" spans="1:16" x14ac:dyDescent="0.2">
      <c r="A172">
        <f t="shared" si="25"/>
        <v>171</v>
      </c>
      <c r="B172" s="5">
        <f t="shared" ca="1" si="29"/>
        <v>171</v>
      </c>
      <c r="C172" s="6">
        <f t="shared" ca="1" si="31"/>
        <v>2007.2499436658775</v>
      </c>
      <c r="D172" s="20">
        <f t="shared" ca="1" si="30"/>
        <v>7.1762874559099243E-3</v>
      </c>
      <c r="E172" s="19">
        <f t="shared" ca="1" si="36"/>
        <v>6.0000000000000053E-2</v>
      </c>
      <c r="F172" s="9">
        <f t="shared" ca="1" si="26"/>
        <v>60.218938209539068</v>
      </c>
      <c r="G172" s="6">
        <f t="shared" ca="1" si="27"/>
        <v>60.217498309976321</v>
      </c>
      <c r="H172" s="6">
        <f t="shared" ca="1" si="28"/>
        <v>54.195748478978693</v>
      </c>
      <c r="I172" s="9">
        <f t="shared" ca="1" si="32"/>
        <v>1.439899562747371E-3</v>
      </c>
      <c r="J172" s="6">
        <f t="shared" ca="1" si="33"/>
        <v>120.434910225979</v>
      </c>
      <c r="K172" s="9">
        <f t="shared" ca="1" si="34"/>
        <v>120.43635012554174</v>
      </c>
      <c r="L172" s="6">
        <f t="shared" ca="1" si="35"/>
        <v>174.63209860452042</v>
      </c>
      <c r="N172" s="9"/>
      <c r="O172" s="9"/>
      <c r="P172" s="9"/>
    </row>
    <row r="173" spans="1:16" x14ac:dyDescent="0.2">
      <c r="A173">
        <f t="shared" si="25"/>
        <v>172</v>
      </c>
      <c r="B173" s="5">
        <f t="shared" ca="1" si="29"/>
        <v>172</v>
      </c>
      <c r="C173" s="6">
        <f t="shared" ca="1" si="31"/>
        <v>1886.8135935403357</v>
      </c>
      <c r="D173" s="20">
        <f t="shared" ca="1" si="30"/>
        <v>7.1762874559099243E-3</v>
      </c>
      <c r="E173" s="19">
        <f t="shared" ca="1" si="36"/>
        <v>6.0000000000000053E-2</v>
      </c>
      <c r="F173" s="9">
        <f t="shared" ca="1" si="26"/>
        <v>56.605761310828115</v>
      </c>
      <c r="G173" s="6">
        <f t="shared" ca="1" si="27"/>
        <v>56.60440780621007</v>
      </c>
      <c r="H173" s="6">
        <f t="shared" ca="1" si="28"/>
        <v>50.94396702558906</v>
      </c>
      <c r="I173" s="9">
        <f t="shared" ca="1" si="32"/>
        <v>1.3535046180450649E-3</v>
      </c>
      <c r="J173" s="6">
        <f t="shared" ca="1" si="33"/>
        <v>113.20873440214316</v>
      </c>
      <c r="K173" s="9">
        <f t="shared" ca="1" si="34"/>
        <v>113.2100879067612</v>
      </c>
      <c r="L173" s="6">
        <f t="shared" ca="1" si="35"/>
        <v>164.15405493235028</v>
      </c>
      <c r="N173" s="9"/>
      <c r="O173" s="9"/>
      <c r="P173" s="9"/>
    </row>
    <row r="174" spans="1:16" x14ac:dyDescent="0.2">
      <c r="A174">
        <f t="shared" si="25"/>
        <v>173</v>
      </c>
      <c r="B174" s="5">
        <f t="shared" ca="1" si="29"/>
        <v>173</v>
      </c>
      <c r="C174" s="6">
        <f t="shared" ca="1" si="31"/>
        <v>1773.6035056335745</v>
      </c>
      <c r="D174" s="20">
        <f t="shared" ca="1" si="30"/>
        <v>7.1762874559099243E-3</v>
      </c>
      <c r="E174" s="19">
        <f t="shared" ca="1" si="36"/>
        <v>6.0000000000000053E-2</v>
      </c>
      <c r="F174" s="9">
        <f t="shared" ca="1" si="26"/>
        <v>53.209377462435526</v>
      </c>
      <c r="G174" s="6">
        <f t="shared" ca="1" si="27"/>
        <v>53.208105169007233</v>
      </c>
      <c r="H174" s="6">
        <f t="shared" ca="1" si="28"/>
        <v>47.887294652106512</v>
      </c>
      <c r="I174" s="9">
        <f t="shared" ca="1" si="32"/>
        <v>1.2722934282933807E-3</v>
      </c>
      <c r="J174" s="6">
        <f t="shared" ca="1" si="33"/>
        <v>106.41613400040887</v>
      </c>
      <c r="K174" s="9">
        <f t="shared" ca="1" si="34"/>
        <v>106.41740629383716</v>
      </c>
      <c r="L174" s="6">
        <f t="shared" ca="1" si="35"/>
        <v>154.30470094594367</v>
      </c>
      <c r="N174" s="9"/>
      <c r="O174" s="9"/>
      <c r="P174" s="9"/>
    </row>
    <row r="175" spans="1:16" x14ac:dyDescent="0.2">
      <c r="A175">
        <f t="shared" si="25"/>
        <v>174</v>
      </c>
      <c r="B175" s="5">
        <f t="shared" ca="1" si="29"/>
        <v>174</v>
      </c>
      <c r="C175" s="6">
        <f t="shared" ca="1" si="31"/>
        <v>1667.1860993397374</v>
      </c>
      <c r="D175" s="20">
        <f t="shared" ca="1" si="30"/>
        <v>7.1762874559099243E-3</v>
      </c>
      <c r="E175" s="19">
        <f t="shared" ca="1" si="36"/>
        <v>6.0000000000000053E-2</v>
      </c>
      <c r="F175" s="9">
        <f t="shared" ca="1" si="26"/>
        <v>50.016778935156793</v>
      </c>
      <c r="G175" s="6">
        <f t="shared" ca="1" si="27"/>
        <v>50.015582980192121</v>
      </c>
      <c r="H175" s="6">
        <f t="shared" ca="1" si="28"/>
        <v>45.014024682172909</v>
      </c>
      <c r="I175" s="9">
        <f t="shared" ca="1" si="32"/>
        <v>1.1959549646718415E-3</v>
      </c>
      <c r="J175" s="6">
        <f t="shared" ca="1" si="33"/>
        <v>100.03109420308645</v>
      </c>
      <c r="K175" s="9">
        <f t="shared" ca="1" si="34"/>
        <v>100.03229015805113</v>
      </c>
      <c r="L175" s="6">
        <f t="shared" ca="1" si="35"/>
        <v>145.04631484022403</v>
      </c>
      <c r="N175" s="9"/>
      <c r="O175" s="9"/>
      <c r="P175" s="9"/>
    </row>
    <row r="176" spans="1:16" x14ac:dyDescent="0.2">
      <c r="A176">
        <f t="shared" si="25"/>
        <v>175</v>
      </c>
      <c r="B176" s="5">
        <f t="shared" ca="1" si="29"/>
        <v>175</v>
      </c>
      <c r="C176" s="6">
        <f t="shared" ca="1" si="31"/>
        <v>1567.1538091816863</v>
      </c>
      <c r="D176" s="20">
        <f t="shared" ca="1" si="30"/>
        <v>7.1762874559099243E-3</v>
      </c>
      <c r="E176" s="19">
        <f t="shared" ca="1" si="36"/>
        <v>6.0000000000000053E-2</v>
      </c>
      <c r="F176" s="9">
        <f t="shared" ca="1" si="26"/>
        <v>47.015738472310929</v>
      </c>
      <c r="G176" s="6">
        <f t="shared" ca="1" si="27"/>
        <v>47.014614275450583</v>
      </c>
      <c r="H176" s="6">
        <f t="shared" ca="1" si="28"/>
        <v>42.313152847905528</v>
      </c>
      <c r="I176" s="9">
        <f t="shared" ca="1" si="32"/>
        <v>1.1241968603457053E-3</v>
      </c>
      <c r="J176" s="6">
        <f t="shared" ca="1" si="33"/>
        <v>94.029161099089649</v>
      </c>
      <c r="K176" s="9">
        <f t="shared" ca="1" si="34"/>
        <v>94.030285295949994</v>
      </c>
      <c r="L176" s="6">
        <f t="shared" ca="1" si="35"/>
        <v>136.34343814385551</v>
      </c>
      <c r="N176" s="9"/>
      <c r="O176" s="9"/>
      <c r="P176" s="9"/>
    </row>
    <row r="177" spans="1:16" x14ac:dyDescent="0.2">
      <c r="A177">
        <f t="shared" si="25"/>
        <v>176</v>
      </c>
      <c r="B177" s="5">
        <f t="shared" ca="1" si="29"/>
        <v>176</v>
      </c>
      <c r="C177" s="6">
        <f t="shared" ca="1" si="31"/>
        <v>1473.1235238857362</v>
      </c>
      <c r="D177" s="20">
        <f t="shared" ca="1" si="30"/>
        <v>7.1762874559099243E-3</v>
      </c>
      <c r="E177" s="19">
        <f t="shared" ca="1" si="36"/>
        <v>6.0000000000000053E-2</v>
      </c>
      <c r="F177" s="9">
        <f t="shared" ca="1" si="26"/>
        <v>44.194762460862755</v>
      </c>
      <c r="G177" s="6">
        <f t="shared" ca="1" si="27"/>
        <v>44.193705716572083</v>
      </c>
      <c r="H177" s="6">
        <f t="shared" ca="1" si="28"/>
        <v>39.774335144914879</v>
      </c>
      <c r="I177" s="9">
        <f t="shared" ca="1" si="32"/>
        <v>1.0567442906719293E-3</v>
      </c>
      <c r="J177" s="6">
        <f t="shared" ca="1" si="33"/>
        <v>88.387348028486798</v>
      </c>
      <c r="K177" s="9">
        <f t="shared" ca="1" si="34"/>
        <v>88.388404772777477</v>
      </c>
      <c r="L177" s="6">
        <f t="shared" ca="1" si="35"/>
        <v>128.16273991769236</v>
      </c>
      <c r="N177" s="9"/>
      <c r="O177" s="9"/>
      <c r="P177" s="9"/>
    </row>
    <row r="178" spans="1:16" x14ac:dyDescent="0.2">
      <c r="A178">
        <f t="shared" si="25"/>
        <v>177</v>
      </c>
      <c r="B178" s="5">
        <f t="shared" ca="1" si="29"/>
        <v>177</v>
      </c>
      <c r="C178" s="6">
        <f t="shared" ca="1" si="31"/>
        <v>1384.7351191129587</v>
      </c>
      <c r="D178" s="20">
        <f t="shared" ca="1" si="30"/>
        <v>7.1762874559099243E-3</v>
      </c>
      <c r="E178" s="19">
        <f t="shared" ca="1" si="36"/>
        <v>6.0000000000000053E-2</v>
      </c>
      <c r="F178" s="9">
        <f t="shared" ca="1" si="26"/>
        <v>41.543046912309421</v>
      </c>
      <c r="G178" s="6">
        <f t="shared" ca="1" si="27"/>
        <v>41.542053573388763</v>
      </c>
      <c r="H178" s="6">
        <f t="shared" ca="1" si="28"/>
        <v>37.387848216049882</v>
      </c>
      <c r="I178" s="9">
        <f t="shared" ca="1" si="32"/>
        <v>9.9333892065800455E-4</v>
      </c>
      <c r="J178" s="6">
        <f t="shared" ca="1" si="33"/>
        <v>83.084047546442363</v>
      </c>
      <c r="K178" s="9">
        <f t="shared" ca="1" si="34"/>
        <v>83.085040885363014</v>
      </c>
      <c r="L178" s="6">
        <f t="shared" ca="1" si="35"/>
        <v>120.4728891014129</v>
      </c>
      <c r="N178" s="9"/>
      <c r="O178" s="9"/>
      <c r="P178" s="9"/>
    </row>
    <row r="179" spans="1:16" x14ac:dyDescent="0.2">
      <c r="A179">
        <f t="shared" si="25"/>
        <v>178</v>
      </c>
      <c r="B179" s="5">
        <f t="shared" ca="1" si="29"/>
        <v>178</v>
      </c>
      <c r="C179" s="6">
        <f t="shared" ca="1" si="31"/>
        <v>1301.6500782275957</v>
      </c>
      <c r="D179" s="20">
        <f t="shared" ca="1" si="30"/>
        <v>7.1762874559099243E-3</v>
      </c>
      <c r="E179" s="19">
        <f t="shared" ca="1" si="36"/>
        <v>6.0000000000000053E-2</v>
      </c>
      <c r="F179" s="9">
        <f t="shared" ca="1" si="26"/>
        <v>39.050436084743474</v>
      </c>
      <c r="G179" s="6">
        <f t="shared" ca="1" si="27"/>
        <v>39.049502346827872</v>
      </c>
      <c r="H179" s="6">
        <f t="shared" ca="1" si="28"/>
        <v>35.144552112145085</v>
      </c>
      <c r="I179" s="9">
        <f t="shared" ca="1" si="32"/>
        <v>9.3373791560225072E-4</v>
      </c>
      <c r="J179" s="6">
        <f t="shared" ca="1" si="33"/>
        <v>78.098948669380874</v>
      </c>
      <c r="K179" s="9">
        <f t="shared" ca="1" si="34"/>
        <v>78.099882407296477</v>
      </c>
      <c r="L179" s="6">
        <f t="shared" ca="1" si="35"/>
        <v>113.24443451944157</v>
      </c>
      <c r="N179" s="9"/>
      <c r="O179" s="9"/>
      <c r="P179" s="9"/>
    </row>
    <row r="180" spans="1:16" x14ac:dyDescent="0.2">
      <c r="A180">
        <f t="shared" si="25"/>
        <v>179</v>
      </c>
      <c r="B180" s="5">
        <f t="shared" ca="1" si="29"/>
        <v>179</v>
      </c>
      <c r="C180" s="6">
        <f t="shared" ca="1" si="31"/>
        <v>1223.5501958202992</v>
      </c>
      <c r="D180" s="20">
        <f t="shared" ca="1" si="30"/>
        <v>7.1762874559099243E-3</v>
      </c>
      <c r="E180" s="19">
        <f t="shared" ca="1" si="36"/>
        <v>6.0000000000000053E-2</v>
      </c>
      <c r="F180" s="9">
        <f t="shared" ca="1" si="26"/>
        <v>36.707383587620015</v>
      </c>
      <c r="G180" s="6">
        <f t="shared" ca="1" si="27"/>
        <v>36.706505874608972</v>
      </c>
      <c r="H180" s="6">
        <f t="shared" ca="1" si="28"/>
        <v>33.035855287148081</v>
      </c>
      <c r="I180" s="9">
        <f t="shared" ca="1" si="32"/>
        <v>8.7771301104311306E-4</v>
      </c>
      <c r="J180" s="6">
        <f t="shared" ca="1" si="33"/>
        <v>73.412959086437354</v>
      </c>
      <c r="K180" s="9">
        <f t="shared" ca="1" si="34"/>
        <v>73.413836799448404</v>
      </c>
      <c r="L180" s="6">
        <f t="shared" ca="1" si="35"/>
        <v>106.44969208659649</v>
      </c>
      <c r="N180" s="9"/>
      <c r="O180" s="9"/>
      <c r="P180" s="9"/>
    </row>
    <row r="181" spans="1:16" x14ac:dyDescent="0.2">
      <c r="A181">
        <f t="shared" si="25"/>
        <v>180</v>
      </c>
      <c r="B181" s="5">
        <f t="shared" ca="1" si="29"/>
        <v>180</v>
      </c>
      <c r="C181" s="6">
        <f t="shared" ca="1" si="31"/>
        <v>1150.1363590208507</v>
      </c>
      <c r="D181" s="20">
        <f t="shared" ca="1" si="30"/>
        <v>7.1762874559099243E-3</v>
      </c>
      <c r="E181" s="19">
        <f t="shared" ca="1" si="36"/>
        <v>6.0000000000000053E-2</v>
      </c>
      <c r="F181" s="9">
        <f t="shared" ca="1" si="26"/>
        <v>34.504915820264053</v>
      </c>
      <c r="G181" s="6">
        <f t="shared" ca="1" si="27"/>
        <v>34.504090770625517</v>
      </c>
      <c r="H181" s="6">
        <f t="shared" ca="1" si="28"/>
        <v>31.053681693562968</v>
      </c>
      <c r="I181" s="9">
        <f t="shared" ca="1" si="32"/>
        <v>8.2504963853580193E-4</v>
      </c>
      <c r="J181" s="6">
        <f t="shared" ca="1" si="33"/>
        <v>69.008132038272791</v>
      </c>
      <c r="K181" s="9">
        <f t="shared" ca="1" si="34"/>
        <v>69.008957087911327</v>
      </c>
      <c r="L181" s="6">
        <f t="shared" ca="1" si="35"/>
        <v>100.06263878147429</v>
      </c>
      <c r="N181" s="9"/>
      <c r="O181" s="9"/>
      <c r="P181" s="9"/>
    </row>
    <row r="182" spans="1:16" x14ac:dyDescent="0.2">
      <c r="A182">
        <f t="shared" si="25"/>
        <v>181</v>
      </c>
      <c r="B182" s="5">
        <f t="shared" ca="1" si="29"/>
        <v>181</v>
      </c>
      <c r="C182" s="6">
        <f t="shared" ca="1" si="31"/>
        <v>1081.1274019329394</v>
      </c>
      <c r="D182" s="20">
        <f t="shared" ca="1" si="30"/>
        <v>7.1762874559099243E-3</v>
      </c>
      <c r="E182" s="19">
        <f t="shared" ca="1" si="36"/>
        <v>6.0000000000000053E-2</v>
      </c>
      <c r="F182" s="9">
        <f t="shared" ca="1" si="26"/>
        <v>32.434597604092062</v>
      </c>
      <c r="G182" s="6">
        <f t="shared" ca="1" si="27"/>
        <v>32.433822057988181</v>
      </c>
      <c r="H182" s="6">
        <f t="shared" ca="1" si="28"/>
        <v>29.190439852189364</v>
      </c>
      <c r="I182" s="9">
        <f t="shared" ca="1" si="32"/>
        <v>7.7554610388119727E-4</v>
      </c>
      <c r="J182" s="6">
        <f t="shared" ca="1" si="33"/>
        <v>64.867597583210198</v>
      </c>
      <c r="K182" s="9">
        <f t="shared" ca="1" si="34"/>
        <v>64.86837312931408</v>
      </c>
      <c r="L182" s="6">
        <f t="shared" ca="1" si="35"/>
        <v>94.058812981503451</v>
      </c>
      <c r="N182" s="9"/>
      <c r="O182" s="9"/>
      <c r="P182" s="9"/>
    </row>
    <row r="183" spans="1:16" x14ac:dyDescent="0.2">
      <c r="A183">
        <f t="shared" si="25"/>
        <v>182</v>
      </c>
      <c r="B183" s="5">
        <f t="shared" ca="1" si="29"/>
        <v>182</v>
      </c>
      <c r="C183" s="6">
        <f t="shared" ca="1" si="31"/>
        <v>1016.2590288036254</v>
      </c>
      <c r="D183" s="20">
        <f t="shared" ca="1" si="30"/>
        <v>7.1762874559099243E-3</v>
      </c>
      <c r="E183" s="19">
        <f t="shared" ca="1" si="36"/>
        <v>6.0000000000000053E-2</v>
      </c>
      <c r="F183" s="9">
        <f t="shared" ca="1" si="26"/>
        <v>30.488499876923449</v>
      </c>
      <c r="G183" s="6">
        <f t="shared" ca="1" si="27"/>
        <v>30.487770864108761</v>
      </c>
      <c r="H183" s="6">
        <f t="shared" ca="1" si="28"/>
        <v>27.438993777697885</v>
      </c>
      <c r="I183" s="9">
        <f t="shared" ca="1" si="32"/>
        <v>7.2901281468773504E-4</v>
      </c>
      <c r="J183" s="6">
        <f t="shared" ca="1" si="33"/>
        <v>60.975497987448698</v>
      </c>
      <c r="K183" s="9">
        <f t="shared" ca="1" si="34"/>
        <v>60.976227000263385</v>
      </c>
      <c r="L183" s="6">
        <f t="shared" ca="1" si="35"/>
        <v>88.415220777961267</v>
      </c>
      <c r="N183" s="9"/>
      <c r="O183" s="9"/>
      <c r="P183" s="9"/>
    </row>
    <row r="184" spans="1:16" x14ac:dyDescent="0.2">
      <c r="A184">
        <f t="shared" si="25"/>
        <v>183</v>
      </c>
      <c r="B184" s="5">
        <f t="shared" ca="1" si="29"/>
        <v>183</v>
      </c>
      <c r="C184" s="6">
        <f t="shared" ca="1" si="31"/>
        <v>955.28280180336196</v>
      </c>
      <c r="D184" s="20">
        <f t="shared" ca="1" si="30"/>
        <v>7.1762874559099243E-3</v>
      </c>
      <c r="E184" s="19">
        <f t="shared" ca="1" si="36"/>
        <v>6.0000000000000053E-2</v>
      </c>
      <c r="F184" s="9">
        <f t="shared" ca="1" si="26"/>
        <v>28.659169325655085</v>
      </c>
      <c r="G184" s="6">
        <f t="shared" ca="1" si="27"/>
        <v>28.658484054100857</v>
      </c>
      <c r="H184" s="6">
        <f t="shared" ca="1" si="28"/>
        <v>25.792635648690773</v>
      </c>
      <c r="I184" s="9">
        <f t="shared" ca="1" si="32"/>
        <v>6.8527155422870578E-4</v>
      </c>
      <c r="J184" s="6">
        <f t="shared" ca="1" si="33"/>
        <v>57.316926991908517</v>
      </c>
      <c r="K184" s="9">
        <f t="shared" ca="1" si="34"/>
        <v>57.317612263462749</v>
      </c>
      <c r="L184" s="6">
        <f t="shared" ca="1" si="35"/>
        <v>83.110247912153525</v>
      </c>
      <c r="N184" s="9"/>
      <c r="O184" s="9"/>
      <c r="P184" s="9"/>
    </row>
    <row r="185" spans="1:16" x14ac:dyDescent="0.2">
      <c r="A185">
        <f t="shared" si="25"/>
        <v>184</v>
      </c>
      <c r="B185" s="5">
        <f t="shared" ca="1" si="29"/>
        <v>184</v>
      </c>
      <c r="C185" s="6">
        <f t="shared" ca="1" si="31"/>
        <v>897.96518953989926</v>
      </c>
      <c r="D185" s="20">
        <f t="shared" ca="1" si="30"/>
        <v>7.1762874559099243E-3</v>
      </c>
      <c r="E185" s="19">
        <f t="shared" ca="1" si="36"/>
        <v>6.0000000000000053E-2</v>
      </c>
      <c r="F185" s="9">
        <f t="shared" ca="1" si="26"/>
        <v>26.939599840995864</v>
      </c>
      <c r="G185" s="6">
        <f t="shared" ca="1" si="27"/>
        <v>26.938955686196977</v>
      </c>
      <c r="H185" s="6">
        <f t="shared" ca="1" si="28"/>
        <v>24.245060117577278</v>
      </c>
      <c r="I185" s="9">
        <f t="shared" ca="1" si="32"/>
        <v>6.4415479888779714E-4</v>
      </c>
      <c r="J185" s="6">
        <f t="shared" ca="1" si="33"/>
        <v>53.877872723106066</v>
      </c>
      <c r="K185" s="9">
        <f t="shared" ca="1" si="34"/>
        <v>53.878516877904957</v>
      </c>
      <c r="L185" s="6">
        <f t="shared" ca="1" si="35"/>
        <v>78.123576995482239</v>
      </c>
      <c r="N185" s="9"/>
      <c r="O185" s="9"/>
      <c r="P185" s="9"/>
    </row>
    <row r="186" spans="1:16" x14ac:dyDescent="0.2">
      <c r="A186">
        <f t="shared" si="25"/>
        <v>185</v>
      </c>
      <c r="B186" s="5">
        <f t="shared" ca="1" si="29"/>
        <v>185</v>
      </c>
      <c r="C186" s="6">
        <f t="shared" ca="1" si="31"/>
        <v>844.08667266199427</v>
      </c>
      <c r="D186" s="20">
        <f t="shared" ca="1" si="30"/>
        <v>7.1762874559099243E-3</v>
      </c>
      <c r="E186" s="19">
        <f t="shared" ca="1" si="36"/>
        <v>6.0000000000000053E-2</v>
      </c>
      <c r="F186" s="9">
        <f t="shared" ca="1" si="26"/>
        <v>25.323205684936422</v>
      </c>
      <c r="G186" s="6">
        <f t="shared" ca="1" si="27"/>
        <v>25.322600179859826</v>
      </c>
      <c r="H186" s="6">
        <f t="shared" ca="1" si="28"/>
        <v>22.790340161873846</v>
      </c>
      <c r="I186" s="9">
        <f t="shared" ca="1" si="32"/>
        <v>6.0550507659584696E-4</v>
      </c>
      <c r="J186" s="6">
        <f t="shared" ca="1" si="33"/>
        <v>50.645164029415106</v>
      </c>
      <c r="K186" s="9">
        <f t="shared" ca="1" si="34"/>
        <v>50.645769534491706</v>
      </c>
      <c r="L186" s="6">
        <f t="shared" ca="1" si="35"/>
        <v>73.436109696365548</v>
      </c>
      <c r="N186" s="9"/>
      <c r="O186" s="9"/>
      <c r="P186" s="9"/>
    </row>
    <row r="187" spans="1:16" x14ac:dyDescent="0.2">
      <c r="A187">
        <f t="shared" si="25"/>
        <v>186</v>
      </c>
      <c r="B187" s="5">
        <f t="shared" ca="1" si="29"/>
        <v>186</v>
      </c>
      <c r="C187" s="6">
        <f t="shared" ca="1" si="31"/>
        <v>793.44090312750257</v>
      </c>
      <c r="D187" s="20">
        <f t="shared" ca="1" si="30"/>
        <v>7.1762874559099243E-3</v>
      </c>
      <c r="E187" s="19">
        <f t="shared" ca="1" si="36"/>
        <v>6.0000000000000053E-2</v>
      </c>
      <c r="F187" s="9">
        <f t="shared" ca="1" si="26"/>
        <v>23.80379626818878</v>
      </c>
      <c r="G187" s="6">
        <f t="shared" ca="1" si="27"/>
        <v>23.803227093825075</v>
      </c>
      <c r="H187" s="6">
        <f t="shared" ca="1" si="28"/>
        <v>21.422904384442568</v>
      </c>
      <c r="I187" s="9">
        <f t="shared" ca="1" si="32"/>
        <v>5.6917436370440555E-4</v>
      </c>
      <c r="J187" s="6">
        <f t="shared" ca="1" si="33"/>
        <v>47.606420037188371</v>
      </c>
      <c r="K187" s="9">
        <f t="shared" ca="1" si="34"/>
        <v>47.606989211552076</v>
      </c>
      <c r="L187" s="6">
        <f t="shared" ca="1" si="35"/>
        <v>69.02989359599465</v>
      </c>
      <c r="N187" s="9"/>
      <c r="O187" s="9"/>
      <c r="P187" s="9"/>
    </row>
    <row r="188" spans="1:16" x14ac:dyDescent="0.2">
      <c r="A188">
        <f t="shared" si="25"/>
        <v>187</v>
      </c>
      <c r="B188" s="5">
        <f t="shared" ca="1" si="29"/>
        <v>187</v>
      </c>
      <c r="C188" s="6">
        <f t="shared" ca="1" si="31"/>
        <v>745.83391391595046</v>
      </c>
      <c r="D188" s="20">
        <f t="shared" ca="1" si="30"/>
        <v>7.1762874559099243E-3</v>
      </c>
      <c r="E188" s="19">
        <f t="shared" ca="1" si="36"/>
        <v>6.0000000000000053E-2</v>
      </c>
      <c r="F188" s="9">
        <f t="shared" ca="1" si="26"/>
        <v>22.375552440996596</v>
      </c>
      <c r="G188" s="6">
        <f t="shared" ca="1" si="27"/>
        <v>22.375017417478514</v>
      </c>
      <c r="H188" s="6">
        <f t="shared" ca="1" si="28"/>
        <v>20.137515675730661</v>
      </c>
      <c r="I188" s="9">
        <f t="shared" ca="1" si="32"/>
        <v>5.3502351808276671E-4</v>
      </c>
      <c r="J188" s="6">
        <f t="shared" ca="1" si="33"/>
        <v>44.750002733545983</v>
      </c>
      <c r="K188" s="9">
        <f t="shared" ca="1" si="34"/>
        <v>44.750537757064066</v>
      </c>
      <c r="L188" s="6">
        <f t="shared" ca="1" si="35"/>
        <v>64.88805343279472</v>
      </c>
      <c r="N188" s="9"/>
      <c r="O188" s="9"/>
      <c r="P188" s="9"/>
    </row>
    <row r="189" spans="1:16" x14ac:dyDescent="0.2">
      <c r="A189">
        <f t="shared" si="25"/>
        <v>188</v>
      </c>
      <c r="B189" s="5">
        <f t="shared" ca="1" si="29"/>
        <v>188</v>
      </c>
      <c r="C189" s="6">
        <f t="shared" ca="1" si="31"/>
        <v>701.08337615888638</v>
      </c>
      <c r="D189" s="20">
        <f t="shared" ca="1" si="30"/>
        <v>7.1762874559099243E-3</v>
      </c>
      <c r="E189" s="19">
        <f t="shared" ca="1" si="36"/>
        <v>6.0000000000000053E-2</v>
      </c>
      <c r="F189" s="9">
        <f t="shared" ca="1" si="26"/>
        <v>21.033004206512818</v>
      </c>
      <c r="G189" s="6">
        <f t="shared" ca="1" si="27"/>
        <v>21.032501284766592</v>
      </c>
      <c r="H189" s="6">
        <f t="shared" ca="1" si="28"/>
        <v>18.929251156289933</v>
      </c>
      <c r="I189" s="9">
        <f t="shared" ca="1" si="32"/>
        <v>5.0292174622512675E-4</v>
      </c>
      <c r="J189" s="6">
        <f t="shared" ca="1" si="33"/>
        <v>42.064972394228441</v>
      </c>
      <c r="K189" s="9">
        <f t="shared" ca="1" si="34"/>
        <v>42.065475315974666</v>
      </c>
      <c r="L189" s="6">
        <f t="shared" ca="1" si="35"/>
        <v>60.994726472264603</v>
      </c>
      <c r="N189" s="9"/>
      <c r="O189" s="9"/>
      <c r="P189" s="9"/>
    </row>
    <row r="190" spans="1:16" x14ac:dyDescent="0.2">
      <c r="A190">
        <f t="shared" si="25"/>
        <v>189</v>
      </c>
      <c r="B190" s="5">
        <f t="shared" ca="1" si="29"/>
        <v>189</v>
      </c>
      <c r="C190" s="6">
        <f t="shared" ca="1" si="31"/>
        <v>659.01790084291167</v>
      </c>
      <c r="D190" s="20">
        <f t="shared" ca="1" si="30"/>
        <v>7.1762874559099243E-3</v>
      </c>
      <c r="E190" s="19">
        <f t="shared" ca="1" si="36"/>
        <v>6.0000000000000053E-2</v>
      </c>
      <c r="F190" s="9">
        <f t="shared" ca="1" si="26"/>
        <v>19.771009771389679</v>
      </c>
      <c r="G190" s="6">
        <f t="shared" ca="1" si="27"/>
        <v>19.77053702528735</v>
      </c>
      <c r="H190" s="6">
        <f t="shared" ca="1" si="28"/>
        <v>17.793483322758615</v>
      </c>
      <c r="I190" s="9">
        <f t="shared" ca="1" si="32"/>
        <v>4.7274610232861392E-4</v>
      </c>
      <c r="J190" s="6">
        <f t="shared" ca="1" si="33"/>
        <v>39.541045685808598</v>
      </c>
      <c r="K190" s="9">
        <f t="shared" ca="1" si="34"/>
        <v>39.54151843191093</v>
      </c>
      <c r="L190" s="6">
        <f t="shared" ca="1" si="35"/>
        <v>57.335001754669548</v>
      </c>
      <c r="N190" s="9"/>
      <c r="O190" s="9"/>
      <c r="P190" s="9"/>
    </row>
    <row r="191" spans="1:16" x14ac:dyDescent="0.2">
      <c r="A191">
        <f t="shared" si="25"/>
        <v>190</v>
      </c>
      <c r="B191" s="5">
        <f t="shared" ca="1" si="29"/>
        <v>190</v>
      </c>
      <c r="C191" s="6">
        <f t="shared" ca="1" si="31"/>
        <v>619.47638241100071</v>
      </c>
      <c r="D191" s="20">
        <f t="shared" ca="1" si="30"/>
        <v>7.1762874559099243E-3</v>
      </c>
      <c r="E191" s="19">
        <f t="shared" ca="1" si="36"/>
        <v>6.0000000000000053E-2</v>
      </c>
      <c r="F191" s="9">
        <f t="shared" ca="1" si="26"/>
        <v>18.584735853347436</v>
      </c>
      <c r="G191" s="6">
        <f t="shared" ca="1" si="27"/>
        <v>18.584291472330019</v>
      </c>
      <c r="H191" s="6">
        <f t="shared" ca="1" si="28"/>
        <v>16.725862325097019</v>
      </c>
      <c r="I191" s="9">
        <f t="shared" ca="1" si="32"/>
        <v>4.443810174166174E-4</v>
      </c>
      <c r="J191" s="6">
        <f t="shared" ca="1" si="33"/>
        <v>37.168556281799034</v>
      </c>
      <c r="K191" s="9">
        <f t="shared" ca="1" si="34"/>
        <v>37.169000662816451</v>
      </c>
      <c r="L191" s="6">
        <f t="shared" ca="1" si="35"/>
        <v>53.89486298791347</v>
      </c>
      <c r="N191" s="9"/>
      <c r="O191" s="9"/>
      <c r="P191" s="9"/>
    </row>
    <row r="192" spans="1:16" x14ac:dyDescent="0.2">
      <c r="A192">
        <f t="shared" si="25"/>
        <v>191</v>
      </c>
      <c r="B192" s="5">
        <f t="shared" ca="1" si="29"/>
        <v>191</v>
      </c>
      <c r="C192" s="6">
        <f t="shared" ca="1" si="31"/>
        <v>582.3073817481843</v>
      </c>
      <c r="D192" s="20">
        <f t="shared" ca="1" si="30"/>
        <v>7.1762874559099243E-3</v>
      </c>
      <c r="E192" s="19">
        <f t="shared" ca="1" si="36"/>
        <v>6.0000000000000053E-2</v>
      </c>
      <c r="F192" s="9">
        <f t="shared" ca="1" si="26"/>
        <v>17.469639170302244</v>
      </c>
      <c r="G192" s="6">
        <f t="shared" ca="1" si="27"/>
        <v>17.469221452445527</v>
      </c>
      <c r="H192" s="6">
        <f t="shared" ca="1" si="28"/>
        <v>15.722299307200975</v>
      </c>
      <c r="I192" s="9">
        <f t="shared" ca="1" si="32"/>
        <v>4.1771785671684825E-4</v>
      </c>
      <c r="J192" s="6">
        <f t="shared" ca="1" si="33"/>
        <v>34.938417841819685</v>
      </c>
      <c r="K192" s="9">
        <f t="shared" ca="1" si="34"/>
        <v>34.938835559676406</v>
      </c>
      <c r="L192" s="6">
        <f t="shared" ca="1" si="35"/>
        <v>50.661134866877383</v>
      </c>
      <c r="N192" s="9"/>
      <c r="O192" s="9"/>
      <c r="P192" s="9"/>
    </row>
    <row r="193" spans="1:16" x14ac:dyDescent="0.2">
      <c r="A193">
        <f t="shared" si="25"/>
        <v>192</v>
      </c>
      <c r="B193" s="5">
        <f t="shared" ca="1" si="29"/>
        <v>192</v>
      </c>
      <c r="C193" s="6">
        <f t="shared" ca="1" si="31"/>
        <v>547.36854618850793</v>
      </c>
      <c r="D193" s="20">
        <f t="shared" ca="1" si="30"/>
        <v>7.1762874559099243E-3</v>
      </c>
      <c r="E193" s="19">
        <f t="shared" ca="1" si="36"/>
        <v>6.0000000000000053E-2</v>
      </c>
      <c r="F193" s="9">
        <f t="shared" ca="1" si="26"/>
        <v>16.42144904015888</v>
      </c>
      <c r="G193" s="6">
        <f t="shared" ca="1" si="27"/>
        <v>16.421056385655238</v>
      </c>
      <c r="H193" s="6">
        <f t="shared" ca="1" si="28"/>
        <v>14.778950747089715</v>
      </c>
      <c r="I193" s="9">
        <f t="shared" ca="1" si="32"/>
        <v>3.9265450364212029E-4</v>
      </c>
      <c r="J193" s="6">
        <f t="shared" ca="1" si="33"/>
        <v>32.842089212040285</v>
      </c>
      <c r="K193" s="9">
        <f t="shared" ca="1" si="34"/>
        <v>32.842481866543928</v>
      </c>
      <c r="L193" s="6">
        <f t="shared" ca="1" si="35"/>
        <v>47.621432613633644</v>
      </c>
      <c r="N193" s="9"/>
      <c r="O193" s="9"/>
      <c r="P193" s="9"/>
    </row>
    <row r="194" spans="1:16" x14ac:dyDescent="0.2">
      <c r="A194">
        <f t="shared" ref="A194:A257" si="37">IF(ROW(A194)-1&gt;$O$4,"",ROW(A194)-1)</f>
        <v>193</v>
      </c>
      <c r="B194" s="5">
        <f t="shared" ca="1" si="29"/>
        <v>193</v>
      </c>
      <c r="C194" s="6">
        <f t="shared" ca="1" si="31"/>
        <v>514.52606432196399</v>
      </c>
      <c r="D194" s="20">
        <f t="shared" ca="1" si="30"/>
        <v>7.1762874559099243E-3</v>
      </c>
      <c r="E194" s="19">
        <f t="shared" ca="1" si="36"/>
        <v>6.0000000000000053E-2</v>
      </c>
      <c r="F194" s="9">
        <f t="shared" ref="F194:F257" ca="1" si="38">IFERROR(-PMT($O$2, $O$4, C194, 0,0),0)</f>
        <v>15.436151024627573</v>
      </c>
      <c r="G194" s="6">
        <f t="shared" ref="G194:G257" ca="1" si="39">C194*$O$2</f>
        <v>15.435781929658919</v>
      </c>
      <c r="H194" s="6">
        <f t="shared" ref="H194:H257" ca="1" si="40">C194*$O$6</f>
        <v>13.892203736693027</v>
      </c>
      <c r="I194" s="9">
        <f t="shared" ca="1" si="32"/>
        <v>3.6909496865433766E-4</v>
      </c>
      <c r="J194" s="6">
        <f t="shared" ca="1" si="33"/>
        <v>30.871541713619749</v>
      </c>
      <c r="K194" s="9">
        <f t="shared" ca="1" si="34"/>
        <v>30.871910808588403</v>
      </c>
      <c r="L194" s="6">
        <f t="shared" ca="1" si="35"/>
        <v>44.76411454528143</v>
      </c>
      <c r="N194" s="9"/>
      <c r="O194" s="9"/>
      <c r="P194" s="9"/>
    </row>
    <row r="195" spans="1:16" x14ac:dyDescent="0.2">
      <c r="A195">
        <f t="shared" si="37"/>
        <v>194</v>
      </c>
      <c r="B195" s="5">
        <f t="shared" ref="B195:B258" ca="1" si="41">IF(ROW(B195)-1&gt;$O$5, "", OFFSET(B194, 0,0)+1)</f>
        <v>194</v>
      </c>
      <c r="C195" s="6">
        <f t="shared" ca="1" si="31"/>
        <v>483.6541535133756</v>
      </c>
      <c r="D195" s="20">
        <f t="shared" ref="D195:D258" ca="1" si="42">1-(1-(E195/100))^12</f>
        <v>7.1762874559099243E-3</v>
      </c>
      <c r="E195" s="19">
        <f t="shared" ca="1" si="36"/>
        <v>6.0000000000000053E-2</v>
      </c>
      <c r="F195" s="9">
        <f t="shared" ca="1" si="38"/>
        <v>14.509971554422918</v>
      </c>
      <c r="G195" s="6">
        <f t="shared" ca="1" si="39"/>
        <v>14.509624605401267</v>
      </c>
      <c r="H195" s="6">
        <f t="shared" ca="1" si="40"/>
        <v>13.058662144861142</v>
      </c>
      <c r="I195" s="9">
        <f t="shared" ca="1" si="32"/>
        <v>3.4694902165099961E-4</v>
      </c>
      <c r="J195" s="6">
        <f t="shared" ca="1" si="33"/>
        <v>29.019228393861262</v>
      </c>
      <c r="K195" s="9">
        <f t="shared" ca="1" si="34"/>
        <v>29.019575342882913</v>
      </c>
      <c r="L195" s="6">
        <f t="shared" ca="1" si="35"/>
        <v>42.078237487744055</v>
      </c>
      <c r="N195" s="9"/>
      <c r="O195" s="9"/>
      <c r="P195" s="9"/>
    </row>
    <row r="196" spans="1:16" x14ac:dyDescent="0.2">
      <c r="A196">
        <f t="shared" si="37"/>
        <v>195</v>
      </c>
      <c r="B196" s="5">
        <f t="shared" ca="1" si="41"/>
        <v>195</v>
      </c>
      <c r="C196" s="6">
        <f t="shared" ref="C196:C259" ca="1" si="43">IFERROR(C195-K195,0)</f>
        <v>454.63457817049272</v>
      </c>
      <c r="D196" s="20">
        <f t="shared" ca="1" si="42"/>
        <v>7.1762874559099243E-3</v>
      </c>
      <c r="E196" s="19">
        <f t="shared" ca="1" si="36"/>
        <v>6.0000000000000053E-2</v>
      </c>
      <c r="F196" s="9">
        <f t="shared" ca="1" si="38"/>
        <v>13.639363476961185</v>
      </c>
      <c r="G196" s="6">
        <f t="shared" ca="1" si="39"/>
        <v>13.639037345114781</v>
      </c>
      <c r="H196" s="6">
        <f t="shared" ca="1" si="40"/>
        <v>12.275133610603303</v>
      </c>
      <c r="I196" s="9">
        <f t="shared" ca="1" si="32"/>
        <v>3.2613184640339909E-4</v>
      </c>
      <c r="J196" s="6">
        <f t="shared" ca="1" si="33"/>
        <v>27.278055122318804</v>
      </c>
      <c r="K196" s="9">
        <f t="shared" ca="1" si="34"/>
        <v>27.278381254165208</v>
      </c>
      <c r="L196" s="6">
        <f t="shared" ca="1" si="35"/>
        <v>39.553514864768509</v>
      </c>
      <c r="N196" s="9"/>
      <c r="O196" s="9"/>
      <c r="P196" s="9"/>
    </row>
    <row r="197" spans="1:16" x14ac:dyDescent="0.2">
      <c r="A197">
        <f t="shared" si="37"/>
        <v>196</v>
      </c>
      <c r="B197" s="5">
        <f t="shared" ca="1" si="41"/>
        <v>196</v>
      </c>
      <c r="C197" s="6">
        <f t="shared" ca="1" si="43"/>
        <v>427.35619691632752</v>
      </c>
      <c r="D197" s="20">
        <f t="shared" ca="1" si="42"/>
        <v>7.1762874559099243E-3</v>
      </c>
      <c r="E197" s="19">
        <f t="shared" ca="1" si="36"/>
        <v>6.0000000000000053E-2</v>
      </c>
      <c r="F197" s="9">
        <f t="shared" ca="1" si="38"/>
        <v>12.82099247120553</v>
      </c>
      <c r="G197" s="6">
        <f t="shared" ca="1" si="39"/>
        <v>12.820685907489825</v>
      </c>
      <c r="H197" s="6">
        <f t="shared" ca="1" si="40"/>
        <v>11.538617316740844</v>
      </c>
      <c r="I197" s="9">
        <f t="shared" ref="I197:I260" ca="1" si="44">F197-G197</f>
        <v>3.0656371570536578E-4</v>
      </c>
      <c r="J197" s="6">
        <f t="shared" ref="J197:J260" ca="1" si="45">E197*(C197-I197)</f>
        <v>25.641353421156733</v>
      </c>
      <c r="K197" s="9">
        <f t="shared" ref="K197:K260" ca="1" si="46">(I197+J197)</f>
        <v>25.64165998487244</v>
      </c>
      <c r="L197" s="6">
        <f t="shared" ref="L197:L260" ca="1" si="47">(H197+K197)</f>
        <v>37.180277301613287</v>
      </c>
      <c r="N197" s="9"/>
      <c r="O197" s="9"/>
      <c r="P197" s="9"/>
    </row>
    <row r="198" spans="1:16" x14ac:dyDescent="0.2">
      <c r="A198">
        <f t="shared" si="37"/>
        <v>197</v>
      </c>
      <c r="B198" s="5">
        <f t="shared" ca="1" si="41"/>
        <v>197</v>
      </c>
      <c r="C198" s="6">
        <f t="shared" ca="1" si="43"/>
        <v>401.71453693145509</v>
      </c>
      <c r="D198" s="20">
        <f t="shared" ca="1" si="42"/>
        <v>7.1762874559099243E-3</v>
      </c>
      <c r="E198" s="19">
        <f t="shared" ca="1" si="36"/>
        <v>6.0000000000000053E-2</v>
      </c>
      <c r="F198" s="9">
        <f t="shared" ca="1" si="38"/>
        <v>12.051724277629697</v>
      </c>
      <c r="G198" s="6">
        <f t="shared" ca="1" si="39"/>
        <v>12.051436107943653</v>
      </c>
      <c r="H198" s="6">
        <f t="shared" ca="1" si="40"/>
        <v>10.846292497149287</v>
      </c>
      <c r="I198" s="9">
        <f t="shared" ca="1" si="44"/>
        <v>2.881696860441707E-4</v>
      </c>
      <c r="J198" s="6">
        <f t="shared" ca="1" si="45"/>
        <v>24.102854925706165</v>
      </c>
      <c r="K198" s="9">
        <f t="shared" ca="1" si="46"/>
        <v>24.103143095392209</v>
      </c>
      <c r="L198" s="6">
        <f t="shared" ca="1" si="47"/>
        <v>34.949435592541498</v>
      </c>
      <c r="N198" s="9"/>
      <c r="O198" s="9"/>
      <c r="P198" s="9"/>
    </row>
    <row r="199" spans="1:16" x14ac:dyDescent="0.2">
      <c r="A199">
        <f t="shared" si="37"/>
        <v>198</v>
      </c>
      <c r="B199" s="5">
        <f t="shared" ca="1" si="41"/>
        <v>198</v>
      </c>
      <c r="C199" s="6">
        <f t="shared" ca="1" si="43"/>
        <v>377.61139383606286</v>
      </c>
      <c r="D199" s="20">
        <f t="shared" ca="1" si="42"/>
        <v>7.1762874559099243E-3</v>
      </c>
      <c r="E199" s="19">
        <f t="shared" ca="1" si="36"/>
        <v>6.0000000000000053E-2</v>
      </c>
      <c r="F199" s="9">
        <f t="shared" ca="1" si="38"/>
        <v>11.328612694392453</v>
      </c>
      <c r="G199" s="6">
        <f t="shared" ca="1" si="39"/>
        <v>11.328341815081885</v>
      </c>
      <c r="H199" s="6">
        <f t="shared" ca="1" si="40"/>
        <v>10.195507633573698</v>
      </c>
      <c r="I199" s="9">
        <f t="shared" ca="1" si="44"/>
        <v>2.7087931056790637E-4</v>
      </c>
      <c r="J199" s="6">
        <f t="shared" ca="1" si="45"/>
        <v>22.656667377405157</v>
      </c>
      <c r="K199" s="9">
        <f t="shared" ca="1" si="46"/>
        <v>22.656938256715726</v>
      </c>
      <c r="L199" s="6">
        <f t="shared" ca="1" si="47"/>
        <v>32.852445890289424</v>
      </c>
      <c r="N199" s="9"/>
      <c r="O199" s="9"/>
      <c r="P199" s="9"/>
    </row>
    <row r="200" spans="1:16" x14ac:dyDescent="0.2">
      <c r="A200">
        <f t="shared" si="37"/>
        <v>199</v>
      </c>
      <c r="B200" s="5">
        <f t="shared" ca="1" si="41"/>
        <v>199</v>
      </c>
      <c r="C200" s="6">
        <f t="shared" ca="1" si="43"/>
        <v>354.95445557934715</v>
      </c>
      <c r="D200" s="20">
        <f t="shared" ca="1" si="42"/>
        <v>7.1762874559099243E-3</v>
      </c>
      <c r="E200" s="19">
        <f t="shared" ca="1" si="36"/>
        <v>6.0000000000000053E-2</v>
      </c>
      <c r="F200" s="9">
        <f t="shared" ca="1" si="38"/>
        <v>10.648888293749691</v>
      </c>
      <c r="G200" s="6">
        <f t="shared" ca="1" si="39"/>
        <v>10.648633667380414</v>
      </c>
      <c r="H200" s="6">
        <f t="shared" ca="1" si="40"/>
        <v>9.5837703006423727</v>
      </c>
      <c r="I200" s="9">
        <f t="shared" ca="1" si="44"/>
        <v>2.5462636927642279E-4</v>
      </c>
      <c r="J200" s="6">
        <f t="shared" ca="1" si="45"/>
        <v>21.297252057178692</v>
      </c>
      <c r="K200" s="9">
        <f t="shared" ca="1" si="46"/>
        <v>21.297506683547969</v>
      </c>
      <c r="L200" s="6">
        <f t="shared" ca="1" si="47"/>
        <v>30.881276984190343</v>
      </c>
      <c r="N200" s="9"/>
      <c r="O200" s="9"/>
      <c r="P200" s="9"/>
    </row>
    <row r="201" spans="1:16" x14ac:dyDescent="0.2">
      <c r="A201">
        <f t="shared" si="37"/>
        <v>200</v>
      </c>
      <c r="B201" s="5">
        <f t="shared" ca="1" si="41"/>
        <v>200</v>
      </c>
      <c r="C201" s="6">
        <f t="shared" ca="1" si="43"/>
        <v>333.65694889579919</v>
      </c>
      <c r="D201" s="20">
        <f t="shared" ca="1" si="42"/>
        <v>7.1762874559099243E-3</v>
      </c>
      <c r="E201" s="19">
        <f t="shared" ca="1" si="36"/>
        <v>6.0000000000000053E-2</v>
      </c>
      <c r="F201" s="9">
        <f t="shared" ca="1" si="38"/>
        <v>10.009947815489399</v>
      </c>
      <c r="G201" s="6">
        <f t="shared" ca="1" si="39"/>
        <v>10.009708466873976</v>
      </c>
      <c r="H201" s="6">
        <f t="shared" ca="1" si="40"/>
        <v>9.0087376201865776</v>
      </c>
      <c r="I201" s="9">
        <f t="shared" ca="1" si="44"/>
        <v>2.39348615423296E-4</v>
      </c>
      <c r="J201" s="6">
        <f t="shared" ca="1" si="45"/>
        <v>20.019402572831044</v>
      </c>
      <c r="K201" s="9">
        <f t="shared" ca="1" si="46"/>
        <v>20.019641921446468</v>
      </c>
      <c r="L201" s="6">
        <f t="shared" ca="1" si="47"/>
        <v>29.028379541633043</v>
      </c>
      <c r="N201" s="9"/>
      <c r="O201" s="9"/>
      <c r="P201" s="9"/>
    </row>
    <row r="202" spans="1:16" x14ac:dyDescent="0.2">
      <c r="A202">
        <f t="shared" si="37"/>
        <v>201</v>
      </c>
      <c r="B202" s="5">
        <f t="shared" ca="1" si="41"/>
        <v>201</v>
      </c>
      <c r="C202" s="6">
        <f t="shared" ca="1" si="43"/>
        <v>313.63730697435273</v>
      </c>
      <c r="D202" s="20">
        <f t="shared" ca="1" si="42"/>
        <v>7.1762874559099243E-3</v>
      </c>
      <c r="E202" s="19">
        <f t="shared" ca="1" si="36"/>
        <v>6.0000000000000053E-2</v>
      </c>
      <c r="F202" s="9">
        <f t="shared" ca="1" si="38"/>
        <v>9.4093441967676839</v>
      </c>
      <c r="G202" s="6">
        <f t="shared" ca="1" si="39"/>
        <v>9.4091192092305818</v>
      </c>
      <c r="H202" s="6">
        <f t="shared" ca="1" si="40"/>
        <v>8.4682072883075232</v>
      </c>
      <c r="I202" s="9">
        <f t="shared" ca="1" si="44"/>
        <v>2.2498753710209485E-4</v>
      </c>
      <c r="J202" s="6">
        <f t="shared" ca="1" si="45"/>
        <v>18.818224919208955</v>
      </c>
      <c r="K202" s="9">
        <f t="shared" ca="1" si="46"/>
        <v>18.818449906746057</v>
      </c>
      <c r="L202" s="6">
        <f t="shared" ca="1" si="47"/>
        <v>27.286657195053579</v>
      </c>
      <c r="N202" s="9"/>
      <c r="O202" s="9"/>
      <c r="P202" s="9"/>
    </row>
    <row r="203" spans="1:16" x14ac:dyDescent="0.2">
      <c r="A203">
        <f t="shared" si="37"/>
        <v>202</v>
      </c>
      <c r="B203" s="5">
        <f t="shared" ca="1" si="41"/>
        <v>202</v>
      </c>
      <c r="C203" s="6">
        <f t="shared" ca="1" si="43"/>
        <v>294.81885706760664</v>
      </c>
      <c r="D203" s="20">
        <f t="shared" ca="1" si="42"/>
        <v>7.1762874559099243E-3</v>
      </c>
      <c r="E203" s="19">
        <f t="shared" ca="1" si="36"/>
        <v>6.0000000000000053E-2</v>
      </c>
      <c r="F203" s="9">
        <f t="shared" ca="1" si="38"/>
        <v>8.8447772001613654</v>
      </c>
      <c r="G203" s="6">
        <f t="shared" ca="1" si="39"/>
        <v>8.8445657120281993</v>
      </c>
      <c r="H203" s="6">
        <f t="shared" ca="1" si="40"/>
        <v>7.960109140825379</v>
      </c>
      <c r="I203" s="9">
        <f t="shared" ca="1" si="44"/>
        <v>2.1148813316607118E-4</v>
      </c>
      <c r="J203" s="6">
        <f t="shared" ca="1" si="45"/>
        <v>17.689118734768424</v>
      </c>
      <c r="K203" s="9">
        <f t="shared" ca="1" si="46"/>
        <v>17.689330222901589</v>
      </c>
      <c r="L203" s="6">
        <f t="shared" ca="1" si="47"/>
        <v>25.64943936372697</v>
      </c>
      <c r="N203" s="9"/>
      <c r="O203" s="9"/>
      <c r="P203" s="9"/>
    </row>
    <row r="204" spans="1:16" x14ac:dyDescent="0.2">
      <c r="A204">
        <f t="shared" si="37"/>
        <v>203</v>
      </c>
      <c r="B204" s="5">
        <f t="shared" ca="1" si="41"/>
        <v>203</v>
      </c>
      <c r="C204" s="6">
        <f t="shared" ca="1" si="43"/>
        <v>277.12952684470508</v>
      </c>
      <c r="D204" s="20">
        <f t="shared" ca="1" si="42"/>
        <v>7.1762874559099243E-3</v>
      </c>
      <c r="E204" s="19">
        <f t="shared" ca="1" si="36"/>
        <v>6.0000000000000053E-2</v>
      </c>
      <c r="F204" s="9">
        <f t="shared" ca="1" si="38"/>
        <v>8.3140846040437193</v>
      </c>
      <c r="G204" s="6">
        <f t="shared" ca="1" si="39"/>
        <v>8.3138858053411528</v>
      </c>
      <c r="H204" s="6">
        <f t="shared" ca="1" si="40"/>
        <v>7.4824972248070374</v>
      </c>
      <c r="I204" s="9">
        <f t="shared" ca="1" si="44"/>
        <v>1.9879870256644949E-4</v>
      </c>
      <c r="J204" s="6">
        <f t="shared" ca="1" si="45"/>
        <v>16.627759682760164</v>
      </c>
      <c r="K204" s="9">
        <f t="shared" ca="1" si="46"/>
        <v>16.627958481462731</v>
      </c>
      <c r="L204" s="6">
        <f t="shared" ca="1" si="47"/>
        <v>24.110455706269768</v>
      </c>
      <c r="N204" s="9"/>
      <c r="O204" s="9"/>
      <c r="P204" s="9"/>
    </row>
    <row r="205" spans="1:16" x14ac:dyDescent="0.2">
      <c r="A205">
        <f t="shared" si="37"/>
        <v>204</v>
      </c>
      <c r="B205" s="5">
        <f t="shared" ca="1" si="41"/>
        <v>204</v>
      </c>
      <c r="C205" s="6">
        <f t="shared" ca="1" si="43"/>
        <v>260.50156836324237</v>
      </c>
      <c r="D205" s="20">
        <f t="shared" ca="1" si="42"/>
        <v>7.1762874559099243E-3</v>
      </c>
      <c r="E205" s="19">
        <f t="shared" ca="1" si="36"/>
        <v>6.0000000000000053E-2</v>
      </c>
      <c r="F205" s="9">
        <f t="shared" ca="1" si="38"/>
        <v>7.8152339215436326</v>
      </c>
      <c r="G205" s="6">
        <f t="shared" ca="1" si="39"/>
        <v>7.8150470508972711</v>
      </c>
      <c r="H205" s="6">
        <f t="shared" ca="1" si="40"/>
        <v>7.0335423458075441</v>
      </c>
      <c r="I205" s="9">
        <f t="shared" ca="1" si="44"/>
        <v>1.8687064636146999E-4</v>
      </c>
      <c r="J205" s="6">
        <f t="shared" ca="1" si="45"/>
        <v>15.630082889555775</v>
      </c>
      <c r="K205" s="9">
        <f t="shared" ca="1" si="46"/>
        <v>15.630269760202136</v>
      </c>
      <c r="L205" s="6">
        <f t="shared" ca="1" si="47"/>
        <v>22.663812106009679</v>
      </c>
      <c r="N205" s="9"/>
      <c r="O205" s="9"/>
      <c r="P205" s="9"/>
    </row>
    <row r="206" spans="1:16" x14ac:dyDescent="0.2">
      <c r="A206">
        <f t="shared" si="37"/>
        <v>205</v>
      </c>
      <c r="B206" s="5">
        <f t="shared" ca="1" si="41"/>
        <v>205</v>
      </c>
      <c r="C206" s="6">
        <f t="shared" ca="1" si="43"/>
        <v>244.87129860304023</v>
      </c>
      <c r="D206" s="20">
        <f t="shared" ca="1" si="42"/>
        <v>7.1762874559099243E-3</v>
      </c>
      <c r="E206" s="19">
        <f t="shared" ca="1" si="36"/>
        <v>6.0000000000000053E-2</v>
      </c>
      <c r="F206" s="9">
        <f t="shared" ca="1" si="38"/>
        <v>7.3463146163727782</v>
      </c>
      <c r="G206" s="6">
        <f t="shared" ca="1" si="39"/>
        <v>7.3461389580912062</v>
      </c>
      <c r="H206" s="6">
        <f t="shared" ca="1" si="40"/>
        <v>6.6115250622820865</v>
      </c>
      <c r="I206" s="9">
        <f t="shared" ca="1" si="44"/>
        <v>1.756582815719554E-4</v>
      </c>
      <c r="J206" s="6">
        <f t="shared" ca="1" si="45"/>
        <v>14.692267376685534</v>
      </c>
      <c r="K206" s="9">
        <f t="shared" ca="1" si="46"/>
        <v>14.692443034967106</v>
      </c>
      <c r="L206" s="6">
        <f t="shared" ca="1" si="47"/>
        <v>21.303968097249193</v>
      </c>
      <c r="N206" s="9"/>
      <c r="O206" s="9"/>
      <c r="P206" s="9"/>
    </row>
    <row r="207" spans="1:16" x14ac:dyDescent="0.2">
      <c r="A207">
        <f t="shared" si="37"/>
        <v>206</v>
      </c>
      <c r="B207" s="5">
        <f t="shared" ca="1" si="41"/>
        <v>206</v>
      </c>
      <c r="C207" s="6">
        <f t="shared" ca="1" si="43"/>
        <v>230.17885556807312</v>
      </c>
      <c r="D207" s="20">
        <f t="shared" ca="1" si="42"/>
        <v>7.1762874559099243E-3</v>
      </c>
      <c r="E207" s="19">
        <f t="shared" ca="1" si="36"/>
        <v>6.0000000000000053E-2</v>
      </c>
      <c r="F207" s="9">
        <f t="shared" ca="1" si="38"/>
        <v>6.9055307857084225</v>
      </c>
      <c r="G207" s="6">
        <f t="shared" ca="1" si="39"/>
        <v>6.9053656670421937</v>
      </c>
      <c r="H207" s="6">
        <f t="shared" ca="1" si="40"/>
        <v>6.2148291003379743</v>
      </c>
      <c r="I207" s="9">
        <f t="shared" ca="1" si="44"/>
        <v>1.6511866622881399E-4</v>
      </c>
      <c r="J207" s="6">
        <f t="shared" ca="1" si="45"/>
        <v>13.810721426964426</v>
      </c>
      <c r="K207" s="9">
        <f t="shared" ca="1" si="46"/>
        <v>13.810886545630655</v>
      </c>
      <c r="L207" s="6">
        <f t="shared" ca="1" si="47"/>
        <v>20.025715645968631</v>
      </c>
      <c r="N207" s="9"/>
      <c r="O207" s="9"/>
      <c r="P207" s="9"/>
    </row>
    <row r="208" spans="1:16" x14ac:dyDescent="0.2">
      <c r="A208">
        <f t="shared" si="37"/>
        <v>207</v>
      </c>
      <c r="B208" s="5">
        <f t="shared" ca="1" si="41"/>
        <v>207</v>
      </c>
      <c r="C208" s="6">
        <f t="shared" ca="1" si="43"/>
        <v>216.36796902244245</v>
      </c>
      <c r="D208" s="20">
        <f t="shared" ca="1" si="42"/>
        <v>7.1762874559099243E-3</v>
      </c>
      <c r="E208" s="19">
        <f t="shared" ca="1" si="36"/>
        <v>6.0000000000000053E-2</v>
      </c>
      <c r="F208" s="9">
        <f t="shared" ca="1" si="38"/>
        <v>6.4911942821081876</v>
      </c>
      <c r="G208" s="6">
        <f t="shared" ca="1" si="39"/>
        <v>6.4910390706732732</v>
      </c>
      <c r="H208" s="6">
        <f t="shared" ca="1" si="40"/>
        <v>5.841935163605946</v>
      </c>
      <c r="I208" s="9">
        <f t="shared" ca="1" si="44"/>
        <v>1.5521143491437073E-4</v>
      </c>
      <c r="J208" s="6">
        <f t="shared" ca="1" si="45"/>
        <v>12.982068828660465</v>
      </c>
      <c r="K208" s="9">
        <f t="shared" ca="1" si="46"/>
        <v>12.982224040095378</v>
      </c>
      <c r="L208" s="6">
        <f t="shared" ca="1" si="47"/>
        <v>18.824159203701324</v>
      </c>
      <c r="N208" s="9"/>
      <c r="O208" s="9"/>
      <c r="P208" s="9"/>
    </row>
    <row r="209" spans="1:16" x14ac:dyDescent="0.2">
      <c r="A209">
        <f t="shared" si="37"/>
        <v>208</v>
      </c>
      <c r="B209" s="5">
        <f t="shared" ca="1" si="41"/>
        <v>208</v>
      </c>
      <c r="C209" s="6">
        <f t="shared" ca="1" si="43"/>
        <v>203.38574498234706</v>
      </c>
      <c r="D209" s="20">
        <f t="shared" ca="1" si="42"/>
        <v>7.1762874559099243E-3</v>
      </c>
      <c r="E209" s="19">
        <f t="shared" ca="1" si="36"/>
        <v>6.0000000000000053E-2</v>
      </c>
      <c r="F209" s="9">
        <f t="shared" ca="1" si="38"/>
        <v>6.1017182481145706</v>
      </c>
      <c r="G209" s="6">
        <f t="shared" ca="1" si="39"/>
        <v>6.1015723494704117</v>
      </c>
      <c r="H209" s="6">
        <f t="shared" ca="1" si="40"/>
        <v>5.4914151145233703</v>
      </c>
      <c r="I209" s="9">
        <f t="shared" ca="1" si="44"/>
        <v>1.4589864415892606E-4</v>
      </c>
      <c r="J209" s="6">
        <f t="shared" ca="1" si="45"/>
        <v>12.203135945022186</v>
      </c>
      <c r="K209" s="9">
        <f t="shared" ca="1" si="46"/>
        <v>12.203281843666346</v>
      </c>
      <c r="L209" s="6">
        <f t="shared" ca="1" si="47"/>
        <v>17.694696958189716</v>
      </c>
      <c r="N209" s="9"/>
      <c r="O209" s="9"/>
      <c r="P209" s="9"/>
    </row>
    <row r="210" spans="1:16" x14ac:dyDescent="0.2">
      <c r="A210">
        <f t="shared" si="37"/>
        <v>209</v>
      </c>
      <c r="B210" s="5">
        <f t="shared" ca="1" si="41"/>
        <v>209</v>
      </c>
      <c r="C210" s="6">
        <f t="shared" ca="1" si="43"/>
        <v>191.1824631386807</v>
      </c>
      <c r="D210" s="20">
        <f t="shared" ca="1" si="42"/>
        <v>7.1762874559099243E-3</v>
      </c>
      <c r="E210" s="19">
        <f t="shared" ca="1" si="36"/>
        <v>6.0000000000000053E-2</v>
      </c>
      <c r="F210" s="9">
        <f t="shared" ca="1" si="38"/>
        <v>5.7356110387875496</v>
      </c>
      <c r="G210" s="6">
        <f t="shared" ca="1" si="39"/>
        <v>5.7354738941604211</v>
      </c>
      <c r="H210" s="6">
        <f t="shared" ca="1" si="40"/>
        <v>5.161926504744379</v>
      </c>
      <c r="I210" s="9">
        <f t="shared" ca="1" si="44"/>
        <v>1.3714462712854925E-4</v>
      </c>
      <c r="J210" s="6">
        <f t="shared" ca="1" si="45"/>
        <v>11.470939559643224</v>
      </c>
      <c r="K210" s="9">
        <f t="shared" ca="1" si="46"/>
        <v>11.471076704270352</v>
      </c>
      <c r="L210" s="6">
        <f t="shared" ca="1" si="47"/>
        <v>16.633003209014731</v>
      </c>
      <c r="N210" s="9"/>
      <c r="O210" s="9"/>
      <c r="P210" s="9"/>
    </row>
    <row r="211" spans="1:16" x14ac:dyDescent="0.2">
      <c r="A211">
        <f t="shared" si="37"/>
        <v>210</v>
      </c>
      <c r="B211" s="5">
        <f t="shared" ca="1" si="41"/>
        <v>210</v>
      </c>
      <c r="C211" s="6">
        <f t="shared" ca="1" si="43"/>
        <v>179.71138643441034</v>
      </c>
      <c r="D211" s="20">
        <f t="shared" ca="1" si="42"/>
        <v>7.1762874559099243E-3</v>
      </c>
      <c r="E211" s="19">
        <f t="shared" ca="1" si="36"/>
        <v>6.0000000000000053E-2</v>
      </c>
      <c r="F211" s="9">
        <f t="shared" ca="1" si="38"/>
        <v>5.3914705088893342</v>
      </c>
      <c r="G211" s="6">
        <f t="shared" ca="1" si="39"/>
        <v>5.3913415930323101</v>
      </c>
      <c r="H211" s="6">
        <f t="shared" ca="1" si="40"/>
        <v>4.8522074337290793</v>
      </c>
      <c r="I211" s="9">
        <f t="shared" ca="1" si="44"/>
        <v>1.2891585702412556E-4</v>
      </c>
      <c r="J211" s="6">
        <f t="shared" ca="1" si="45"/>
        <v>10.782675451113208</v>
      </c>
      <c r="K211" s="9">
        <f t="shared" ca="1" si="46"/>
        <v>10.782804366970232</v>
      </c>
      <c r="L211" s="6">
        <f t="shared" ca="1" si="47"/>
        <v>15.635011800699312</v>
      </c>
      <c r="N211" s="9"/>
      <c r="O211" s="9"/>
      <c r="P211" s="9"/>
    </row>
    <row r="212" spans="1:16" x14ac:dyDescent="0.2">
      <c r="A212">
        <f t="shared" si="37"/>
        <v>211</v>
      </c>
      <c r="B212" s="5">
        <f t="shared" ca="1" si="41"/>
        <v>211</v>
      </c>
      <c r="C212" s="6">
        <f t="shared" ca="1" si="43"/>
        <v>168.92858206744012</v>
      </c>
      <c r="D212" s="20">
        <f t="shared" ca="1" si="42"/>
        <v>7.1762874559099243E-3</v>
      </c>
      <c r="E212" s="19">
        <f t="shared" ca="1" si="36"/>
        <v>6.0000000000000053E-2</v>
      </c>
      <c r="F212" s="9">
        <f t="shared" ca="1" si="38"/>
        <v>5.0679786428418767</v>
      </c>
      <c r="G212" s="6">
        <f t="shared" ca="1" si="39"/>
        <v>5.0678574620232038</v>
      </c>
      <c r="H212" s="6">
        <f t="shared" ca="1" si="40"/>
        <v>4.5610717158208836</v>
      </c>
      <c r="I212" s="9">
        <f t="shared" ca="1" si="44"/>
        <v>1.2118081867296127E-4</v>
      </c>
      <c r="J212" s="6">
        <f t="shared" ca="1" si="45"/>
        <v>10.135707653197295</v>
      </c>
      <c r="K212" s="9">
        <f t="shared" ca="1" si="46"/>
        <v>10.135828834015967</v>
      </c>
      <c r="L212" s="6">
        <f t="shared" ca="1" si="47"/>
        <v>14.696900549836851</v>
      </c>
      <c r="N212" s="9"/>
      <c r="O212" s="9"/>
      <c r="P212" s="9"/>
    </row>
    <row r="213" spans="1:16" x14ac:dyDescent="0.2">
      <c r="A213">
        <f t="shared" si="37"/>
        <v>212</v>
      </c>
      <c r="B213" s="5">
        <f t="shared" ca="1" si="41"/>
        <v>212</v>
      </c>
      <c r="C213" s="6">
        <f t="shared" ca="1" si="43"/>
        <v>158.79275323342415</v>
      </c>
      <c r="D213" s="20">
        <f t="shared" ca="1" si="42"/>
        <v>7.1762874559099243E-3</v>
      </c>
      <c r="E213" s="19">
        <f t="shared" ca="1" si="36"/>
        <v>6.0000000000000053E-2</v>
      </c>
      <c r="F213" s="9">
        <f t="shared" ca="1" si="38"/>
        <v>4.7638965068905641</v>
      </c>
      <c r="G213" s="6">
        <f t="shared" ca="1" si="39"/>
        <v>4.7637825970027246</v>
      </c>
      <c r="H213" s="6">
        <f t="shared" ca="1" si="40"/>
        <v>4.2874043373024522</v>
      </c>
      <c r="I213" s="9">
        <f t="shared" ca="1" si="44"/>
        <v>1.1390988783954725E-4</v>
      </c>
      <c r="J213" s="6">
        <f t="shared" ca="1" si="45"/>
        <v>9.527558359412188</v>
      </c>
      <c r="K213" s="9">
        <f t="shared" ca="1" si="46"/>
        <v>9.5276722693000266</v>
      </c>
      <c r="L213" s="6">
        <f t="shared" ca="1" si="47"/>
        <v>13.815076606602478</v>
      </c>
      <c r="N213" s="9"/>
      <c r="O213" s="9"/>
      <c r="P213" s="9"/>
    </row>
    <row r="214" spans="1:16" x14ac:dyDescent="0.2">
      <c r="A214">
        <f t="shared" si="37"/>
        <v>213</v>
      </c>
      <c r="B214" s="5">
        <f t="shared" ca="1" si="41"/>
        <v>213</v>
      </c>
      <c r="C214" s="6">
        <f t="shared" ca="1" si="43"/>
        <v>149.26508096412414</v>
      </c>
      <c r="D214" s="20">
        <f t="shared" ca="1" si="42"/>
        <v>7.1762874559099243E-3</v>
      </c>
      <c r="E214" s="19">
        <f t="shared" ca="1" si="36"/>
        <v>6.0000000000000053E-2</v>
      </c>
      <c r="F214" s="9">
        <f t="shared" ca="1" si="38"/>
        <v>4.4780595041414823</v>
      </c>
      <c r="G214" s="6">
        <f t="shared" ca="1" si="39"/>
        <v>4.4779524289237242</v>
      </c>
      <c r="H214" s="6">
        <f t="shared" ca="1" si="40"/>
        <v>4.0301571860313521</v>
      </c>
      <c r="I214" s="9">
        <f t="shared" ca="1" si="44"/>
        <v>1.0707521775810136E-4</v>
      </c>
      <c r="J214" s="6">
        <f t="shared" ca="1" si="45"/>
        <v>8.9558984333343901</v>
      </c>
      <c r="K214" s="9">
        <f t="shared" ca="1" si="46"/>
        <v>8.9560055085521491</v>
      </c>
      <c r="L214" s="6">
        <f t="shared" ca="1" si="47"/>
        <v>12.986162694583502</v>
      </c>
      <c r="N214" s="9"/>
      <c r="O214" s="9"/>
      <c r="P214" s="9"/>
    </row>
    <row r="215" spans="1:16" x14ac:dyDescent="0.2">
      <c r="A215">
        <f t="shared" si="37"/>
        <v>214</v>
      </c>
      <c r="B215" s="5">
        <f t="shared" ca="1" si="41"/>
        <v>214</v>
      </c>
      <c r="C215" s="6">
        <f t="shared" ca="1" si="43"/>
        <v>140.30907545557199</v>
      </c>
      <c r="D215" s="20">
        <f t="shared" ca="1" si="42"/>
        <v>7.1762874559099243E-3</v>
      </c>
      <c r="E215" s="19">
        <f t="shared" ca="1" si="36"/>
        <v>6.0000000000000053E-2</v>
      </c>
      <c r="F215" s="9">
        <f t="shared" ca="1" si="38"/>
        <v>4.2093729142996512</v>
      </c>
      <c r="G215" s="6">
        <f t="shared" ca="1" si="39"/>
        <v>4.2092722636671596</v>
      </c>
      <c r="H215" s="6">
        <f t="shared" ca="1" si="40"/>
        <v>3.7883450373004437</v>
      </c>
      <c r="I215" s="9">
        <f t="shared" ca="1" si="44"/>
        <v>1.0065063249165007E-4</v>
      </c>
      <c r="J215" s="6">
        <f t="shared" ca="1" si="45"/>
        <v>8.4185384882963756</v>
      </c>
      <c r="K215" s="9">
        <f t="shared" ca="1" si="46"/>
        <v>8.4186391389288673</v>
      </c>
      <c r="L215" s="6">
        <f t="shared" ca="1" si="47"/>
        <v>12.206984176229311</v>
      </c>
      <c r="N215" s="9"/>
      <c r="O215" s="9"/>
      <c r="P215" s="9"/>
    </row>
    <row r="216" spans="1:16" x14ac:dyDescent="0.2">
      <c r="A216">
        <f t="shared" si="37"/>
        <v>215</v>
      </c>
      <c r="B216" s="5">
        <f t="shared" ca="1" si="41"/>
        <v>215</v>
      </c>
      <c r="C216" s="6">
        <f t="shared" ca="1" si="43"/>
        <v>131.8904363166431</v>
      </c>
      <c r="D216" s="20">
        <f t="shared" ca="1" si="42"/>
        <v>7.1762874559099243E-3</v>
      </c>
      <c r="E216" s="19">
        <f t="shared" ca="1" si="36"/>
        <v>6.0000000000000053E-2</v>
      </c>
      <c r="F216" s="9">
        <f t="shared" ca="1" si="38"/>
        <v>3.9568077010259648</v>
      </c>
      <c r="G216" s="6">
        <f t="shared" ca="1" si="39"/>
        <v>3.956713089499293</v>
      </c>
      <c r="H216" s="6">
        <f t="shared" ca="1" si="40"/>
        <v>3.5610417805493637</v>
      </c>
      <c r="I216" s="9">
        <f t="shared" ca="1" si="44"/>
        <v>9.4611526671783963E-5</v>
      </c>
      <c r="J216" s="6">
        <f t="shared" ca="1" si="45"/>
        <v>7.9134205023069937</v>
      </c>
      <c r="K216" s="9">
        <f t="shared" ca="1" si="46"/>
        <v>7.9135151138336655</v>
      </c>
      <c r="L216" s="6">
        <f t="shared" ca="1" si="47"/>
        <v>11.47455689438303</v>
      </c>
      <c r="N216" s="9"/>
      <c r="O216" s="9"/>
      <c r="P216" s="9"/>
    </row>
    <row r="217" spans="1:16" x14ac:dyDescent="0.2">
      <c r="A217">
        <f t="shared" si="37"/>
        <v>216</v>
      </c>
      <c r="B217" s="5">
        <f t="shared" ca="1" si="41"/>
        <v>216</v>
      </c>
      <c r="C217" s="6">
        <f t="shared" ca="1" si="43"/>
        <v>123.97692120280944</v>
      </c>
      <c r="D217" s="20">
        <f t="shared" ca="1" si="42"/>
        <v>7.1762874559099243E-3</v>
      </c>
      <c r="E217" s="19">
        <f t="shared" ca="1" si="36"/>
        <v>6.0000000000000053E-2</v>
      </c>
      <c r="F217" s="9">
        <f t="shared" ca="1" si="38"/>
        <v>3.7193965708555576</v>
      </c>
      <c r="G217" s="6">
        <f t="shared" ca="1" si="39"/>
        <v>3.7193076360842827</v>
      </c>
      <c r="H217" s="6">
        <f t="shared" ca="1" si="40"/>
        <v>3.3473768724758548</v>
      </c>
      <c r="I217" s="9">
        <f t="shared" ca="1" si="44"/>
        <v>8.8934771274917779E-5</v>
      </c>
      <c r="J217" s="6">
        <f t="shared" ca="1" si="45"/>
        <v>7.4386099360822966</v>
      </c>
      <c r="K217" s="9">
        <f t="shared" ca="1" si="46"/>
        <v>7.4386988708535711</v>
      </c>
      <c r="L217" s="6">
        <f t="shared" ca="1" si="47"/>
        <v>10.786075743329427</v>
      </c>
      <c r="N217" s="9"/>
      <c r="O217" s="9"/>
      <c r="P217" s="9"/>
    </row>
    <row r="218" spans="1:16" x14ac:dyDescent="0.2">
      <c r="A218">
        <f t="shared" si="37"/>
        <v>217</v>
      </c>
      <c r="B218" s="5">
        <f t="shared" ca="1" si="41"/>
        <v>217</v>
      </c>
      <c r="C218" s="6">
        <f t="shared" ca="1" si="43"/>
        <v>116.53822233195586</v>
      </c>
      <c r="D218" s="20">
        <f t="shared" ca="1" si="42"/>
        <v>7.1762874559099243E-3</v>
      </c>
      <c r="E218" s="19">
        <f t="shared" ca="1" si="36"/>
        <v>6.0000000000000053E-2</v>
      </c>
      <c r="F218" s="9">
        <f t="shared" ca="1" si="38"/>
        <v>3.4962302685837043</v>
      </c>
      <c r="G218" s="6">
        <f t="shared" ca="1" si="39"/>
        <v>3.4961466699586756</v>
      </c>
      <c r="H218" s="6">
        <f t="shared" ca="1" si="40"/>
        <v>3.1465320029628083</v>
      </c>
      <c r="I218" s="9">
        <f t="shared" ca="1" si="44"/>
        <v>8.3598625028713514E-5</v>
      </c>
      <c r="J218" s="6">
        <f t="shared" ca="1" si="45"/>
        <v>6.9922883239998566</v>
      </c>
      <c r="K218" s="9">
        <f t="shared" ca="1" si="46"/>
        <v>6.9923719226248853</v>
      </c>
      <c r="L218" s="6">
        <f t="shared" ca="1" si="47"/>
        <v>10.138903925587694</v>
      </c>
      <c r="N218" s="9"/>
      <c r="O218" s="9"/>
      <c r="P218" s="9"/>
    </row>
    <row r="219" spans="1:16" x14ac:dyDescent="0.2">
      <c r="A219">
        <f t="shared" si="37"/>
        <v>218</v>
      </c>
      <c r="B219" s="5">
        <f t="shared" ca="1" si="41"/>
        <v>218</v>
      </c>
      <c r="C219" s="6">
        <f t="shared" ca="1" si="43"/>
        <v>109.54585040933098</v>
      </c>
      <c r="D219" s="20">
        <f t="shared" ca="1" si="42"/>
        <v>7.1762874559099243E-3</v>
      </c>
      <c r="E219" s="19">
        <f t="shared" ca="1" si="36"/>
        <v>6.0000000000000053E-2</v>
      </c>
      <c r="F219" s="9">
        <f t="shared" ca="1" si="38"/>
        <v>3.2864540949310852</v>
      </c>
      <c r="G219" s="6">
        <f t="shared" ca="1" si="39"/>
        <v>3.2863755122799292</v>
      </c>
      <c r="H219" s="6">
        <f t="shared" ca="1" si="40"/>
        <v>2.9577379610519365</v>
      </c>
      <c r="I219" s="9">
        <f t="shared" ca="1" si="44"/>
        <v>7.8582651156011707E-5</v>
      </c>
      <c r="J219" s="6">
        <f t="shared" ca="1" si="45"/>
        <v>6.5727463096007952</v>
      </c>
      <c r="K219" s="9">
        <f t="shared" ca="1" si="46"/>
        <v>6.5728248922519512</v>
      </c>
      <c r="L219" s="6">
        <f t="shared" ca="1" si="47"/>
        <v>9.5305628533038877</v>
      </c>
      <c r="N219" s="9"/>
      <c r="O219" s="9"/>
      <c r="P219" s="9"/>
    </row>
    <row r="220" spans="1:16" x14ac:dyDescent="0.2">
      <c r="A220">
        <f t="shared" si="37"/>
        <v>219</v>
      </c>
      <c r="B220" s="5">
        <f t="shared" ca="1" si="41"/>
        <v>219</v>
      </c>
      <c r="C220" s="6">
        <f t="shared" ca="1" si="43"/>
        <v>102.97302551707904</v>
      </c>
      <c r="D220" s="20">
        <f t="shared" ca="1" si="42"/>
        <v>7.1762874559099243E-3</v>
      </c>
      <c r="E220" s="19">
        <f t="shared" ca="1" si="36"/>
        <v>6.0000000000000053E-2</v>
      </c>
      <c r="F220" s="9">
        <f t="shared" ca="1" si="38"/>
        <v>3.0892646331514686</v>
      </c>
      <c r="G220" s="6">
        <f t="shared" ca="1" si="39"/>
        <v>3.0891907655123712</v>
      </c>
      <c r="H220" s="6">
        <f t="shared" ca="1" si="40"/>
        <v>2.7802716889611339</v>
      </c>
      <c r="I220" s="9">
        <f t="shared" ca="1" si="44"/>
        <v>7.3867639097446869E-5</v>
      </c>
      <c r="J220" s="6">
        <f t="shared" ca="1" si="45"/>
        <v>6.1783770989664015</v>
      </c>
      <c r="K220" s="9">
        <f t="shared" ca="1" si="46"/>
        <v>6.1784509666054994</v>
      </c>
      <c r="L220" s="6">
        <f t="shared" ca="1" si="47"/>
        <v>8.9587226555666337</v>
      </c>
      <c r="N220" s="9"/>
      <c r="O220" s="9"/>
      <c r="P220" s="9"/>
    </row>
    <row r="221" spans="1:16" x14ac:dyDescent="0.2">
      <c r="A221">
        <f t="shared" si="37"/>
        <v>220</v>
      </c>
      <c r="B221" s="5">
        <f t="shared" ca="1" si="41"/>
        <v>220</v>
      </c>
      <c r="C221" s="6">
        <f t="shared" ca="1" si="43"/>
        <v>96.794574550473541</v>
      </c>
      <c r="D221" s="20">
        <f t="shared" ca="1" si="42"/>
        <v>7.1762874559099243E-3</v>
      </c>
      <c r="E221" s="19">
        <f t="shared" ca="1" si="36"/>
        <v>6.0000000000000053E-2</v>
      </c>
      <c r="F221" s="9">
        <f t="shared" ca="1" si="38"/>
        <v>2.9039066720451481</v>
      </c>
      <c r="G221" s="6">
        <f t="shared" ca="1" si="39"/>
        <v>2.9038372365142062</v>
      </c>
      <c r="H221" s="6">
        <f t="shared" ca="1" si="40"/>
        <v>2.6134535128627854</v>
      </c>
      <c r="I221" s="9">
        <f t="shared" ca="1" si="44"/>
        <v>6.9435530941852619E-5</v>
      </c>
      <c r="J221" s="6">
        <f t="shared" ca="1" si="45"/>
        <v>5.8076703068965605</v>
      </c>
      <c r="K221" s="9">
        <f t="shared" ca="1" si="46"/>
        <v>5.8077397424275023</v>
      </c>
      <c r="L221" s="6">
        <f t="shared" ca="1" si="47"/>
        <v>8.4211932552902873</v>
      </c>
      <c r="N221" s="9"/>
      <c r="O221" s="9"/>
      <c r="P221" s="9"/>
    </row>
    <row r="222" spans="1:16" x14ac:dyDescent="0.2">
      <c r="A222">
        <f t="shared" si="37"/>
        <v>221</v>
      </c>
      <c r="B222" s="5">
        <f t="shared" ca="1" si="41"/>
        <v>221</v>
      </c>
      <c r="C222" s="6">
        <f t="shared" ca="1" si="43"/>
        <v>90.986834808046041</v>
      </c>
      <c r="D222" s="20">
        <f t="shared" ca="1" si="42"/>
        <v>7.1762874559099243E-3</v>
      </c>
      <c r="E222" s="19">
        <f t="shared" ca="1" si="36"/>
        <v>6.0000000000000053E-2</v>
      </c>
      <c r="F222" s="9">
        <f t="shared" ca="1" si="38"/>
        <v>2.7296703135936458</v>
      </c>
      <c r="G222" s="6">
        <f t="shared" ca="1" si="39"/>
        <v>2.7296050442413811</v>
      </c>
      <c r="H222" s="6">
        <f t="shared" ca="1" si="40"/>
        <v>2.4566445398172432</v>
      </c>
      <c r="I222" s="9">
        <f t="shared" ca="1" si="44"/>
        <v>6.5269352264696323E-5</v>
      </c>
      <c r="J222" s="6">
        <f t="shared" ca="1" si="45"/>
        <v>5.4592061723216316</v>
      </c>
      <c r="K222" s="9">
        <f t="shared" ca="1" si="46"/>
        <v>5.4592714416738968</v>
      </c>
      <c r="L222" s="6">
        <f t="shared" ca="1" si="47"/>
        <v>7.91591598149114</v>
      </c>
      <c r="N222" s="9"/>
      <c r="O222" s="9"/>
      <c r="P222" s="9"/>
    </row>
    <row r="223" spans="1:16" x14ac:dyDescent="0.2">
      <c r="A223">
        <f t="shared" si="37"/>
        <v>222</v>
      </c>
      <c r="B223" s="5">
        <f t="shared" ca="1" si="41"/>
        <v>222</v>
      </c>
      <c r="C223" s="6">
        <f t="shared" ca="1" si="43"/>
        <v>85.527563366372149</v>
      </c>
      <c r="D223" s="20">
        <f t="shared" ca="1" si="42"/>
        <v>7.1762874559099243E-3</v>
      </c>
      <c r="E223" s="19">
        <f t="shared" ca="1" si="36"/>
        <v>6.0000000000000053E-2</v>
      </c>
      <c r="F223" s="9">
        <f t="shared" ca="1" si="38"/>
        <v>2.5658882541382813</v>
      </c>
      <c r="G223" s="6">
        <f t="shared" ca="1" si="39"/>
        <v>2.5658269009911643</v>
      </c>
      <c r="H223" s="6">
        <f t="shared" ca="1" si="40"/>
        <v>2.3092442108920479</v>
      </c>
      <c r="I223" s="9">
        <f t="shared" ca="1" si="44"/>
        <v>6.1353147116971485E-5</v>
      </c>
      <c r="J223" s="6">
        <f t="shared" ca="1" si="45"/>
        <v>5.1316501207935064</v>
      </c>
      <c r="K223" s="9">
        <f t="shared" ca="1" si="46"/>
        <v>5.1317114739406229</v>
      </c>
      <c r="L223" s="6">
        <f t="shared" ca="1" si="47"/>
        <v>7.4409556848326712</v>
      </c>
      <c r="N223" s="9"/>
      <c r="O223" s="9"/>
      <c r="P223" s="9"/>
    </row>
    <row r="224" spans="1:16" x14ac:dyDescent="0.2">
      <c r="A224">
        <f t="shared" si="37"/>
        <v>223</v>
      </c>
      <c r="B224" s="5">
        <f t="shared" ca="1" si="41"/>
        <v>223</v>
      </c>
      <c r="C224" s="6">
        <f t="shared" ca="1" si="43"/>
        <v>80.395851892431523</v>
      </c>
      <c r="D224" s="20">
        <f t="shared" ca="1" si="42"/>
        <v>7.1762874559099243E-3</v>
      </c>
      <c r="E224" s="19">
        <f t="shared" ca="1" si="36"/>
        <v>6.0000000000000053E-2</v>
      </c>
      <c r="F224" s="9">
        <f t="shared" ca="1" si="38"/>
        <v>2.4119332286898643</v>
      </c>
      <c r="G224" s="6">
        <f t="shared" ca="1" si="39"/>
        <v>2.4118755567729457</v>
      </c>
      <c r="H224" s="6">
        <f t="shared" ca="1" si="40"/>
        <v>2.1706880010956513</v>
      </c>
      <c r="I224" s="9">
        <f t="shared" ca="1" si="44"/>
        <v>5.767191691852247E-5</v>
      </c>
      <c r="J224" s="6">
        <f t="shared" ca="1" si="45"/>
        <v>4.8237476532308801</v>
      </c>
      <c r="K224" s="9">
        <f t="shared" ca="1" si="46"/>
        <v>4.8238053251477986</v>
      </c>
      <c r="L224" s="6">
        <f t="shared" ca="1" si="47"/>
        <v>6.9944933262434503</v>
      </c>
      <c r="N224" s="9"/>
      <c r="O224" s="9"/>
      <c r="P224" s="9"/>
    </row>
    <row r="225" spans="1:16" x14ac:dyDescent="0.2">
      <c r="A225">
        <f t="shared" si="37"/>
        <v>224</v>
      </c>
      <c r="B225" s="5">
        <f t="shared" ca="1" si="41"/>
        <v>224</v>
      </c>
      <c r="C225" s="6">
        <f t="shared" ca="1" si="43"/>
        <v>75.572046567283721</v>
      </c>
      <c r="D225" s="20">
        <f t="shared" ca="1" si="42"/>
        <v>7.1762874559099243E-3</v>
      </c>
      <c r="E225" s="19">
        <f t="shared" ref="E225:E288" ca="1" si="48">IFERROR(E224,0)</f>
        <v>6.0000000000000053E-2</v>
      </c>
      <c r="F225" s="9">
        <f t="shared" ca="1" si="38"/>
        <v>2.2672156085815267</v>
      </c>
      <c r="G225" s="6">
        <f t="shared" ca="1" si="39"/>
        <v>2.2671613970185116</v>
      </c>
      <c r="H225" s="6">
        <f t="shared" ca="1" si="40"/>
        <v>2.0404452573166605</v>
      </c>
      <c r="I225" s="9">
        <f t="shared" ca="1" si="44"/>
        <v>5.4211563015105213E-5</v>
      </c>
      <c r="J225" s="6">
        <f t="shared" ca="1" si="45"/>
        <v>4.5343195413432467</v>
      </c>
      <c r="K225" s="9">
        <f t="shared" ca="1" si="46"/>
        <v>4.5343737529062622</v>
      </c>
      <c r="L225" s="6">
        <f t="shared" ca="1" si="47"/>
        <v>6.5748190102229227</v>
      </c>
      <c r="N225" s="9"/>
      <c r="O225" s="9"/>
      <c r="P225" s="9"/>
    </row>
    <row r="226" spans="1:16" x14ac:dyDescent="0.2">
      <c r="A226">
        <f t="shared" si="37"/>
        <v>225</v>
      </c>
      <c r="B226" s="5">
        <f t="shared" ca="1" si="41"/>
        <v>225</v>
      </c>
      <c r="C226" s="6">
        <f t="shared" ca="1" si="43"/>
        <v>71.037672814377459</v>
      </c>
      <c r="D226" s="20">
        <f t="shared" ca="1" si="42"/>
        <v>7.1762874559099243E-3</v>
      </c>
      <c r="E226" s="19">
        <f t="shared" ca="1" si="48"/>
        <v>6.0000000000000053E-2</v>
      </c>
      <c r="F226" s="9">
        <f t="shared" ca="1" si="38"/>
        <v>2.1311811432640027</v>
      </c>
      <c r="G226" s="6">
        <f t="shared" ca="1" si="39"/>
        <v>2.1311301844313237</v>
      </c>
      <c r="H226" s="6">
        <f t="shared" ca="1" si="40"/>
        <v>1.9180171659881913</v>
      </c>
      <c r="I226" s="9">
        <f t="shared" ca="1" si="44"/>
        <v>5.0958832678915655E-5</v>
      </c>
      <c r="J226" s="6">
        <f t="shared" ca="1" si="45"/>
        <v>4.2622573113326911</v>
      </c>
      <c r="K226" s="9">
        <f t="shared" ca="1" si="46"/>
        <v>4.2623082701653701</v>
      </c>
      <c r="L226" s="6">
        <f t="shared" ca="1" si="47"/>
        <v>6.1803254361535611</v>
      </c>
      <c r="N226" s="9"/>
      <c r="O226" s="9"/>
      <c r="P226" s="9"/>
    </row>
    <row r="227" spans="1:16" x14ac:dyDescent="0.2">
      <c r="A227">
        <f t="shared" si="37"/>
        <v>226</v>
      </c>
      <c r="B227" s="5">
        <f t="shared" ca="1" si="41"/>
        <v>226</v>
      </c>
      <c r="C227" s="6">
        <f t="shared" ca="1" si="43"/>
        <v>66.775364544212096</v>
      </c>
      <c r="D227" s="20">
        <f t="shared" ca="1" si="42"/>
        <v>7.1762874559099243E-3</v>
      </c>
      <c r="E227" s="19">
        <f t="shared" ca="1" si="48"/>
        <v>6.0000000000000053E-2</v>
      </c>
      <c r="F227" s="9">
        <f t="shared" ca="1" si="38"/>
        <v>2.0033088375947194</v>
      </c>
      <c r="G227" s="6">
        <f t="shared" ca="1" si="39"/>
        <v>2.0032609363263627</v>
      </c>
      <c r="H227" s="6">
        <f t="shared" ca="1" si="40"/>
        <v>1.8029348426937266</v>
      </c>
      <c r="I227" s="9">
        <f t="shared" ca="1" si="44"/>
        <v>4.7901268356742577E-5</v>
      </c>
      <c r="J227" s="6">
        <f t="shared" ca="1" si="45"/>
        <v>4.0065189985766274</v>
      </c>
      <c r="K227" s="9">
        <f t="shared" ca="1" si="46"/>
        <v>4.0065668998449837</v>
      </c>
      <c r="L227" s="6">
        <f t="shared" ca="1" si="47"/>
        <v>5.8095017425387105</v>
      </c>
      <c r="N227" s="9"/>
      <c r="O227" s="9"/>
      <c r="P227" s="9"/>
    </row>
    <row r="228" spans="1:16" x14ac:dyDescent="0.2">
      <c r="A228">
        <f t="shared" si="37"/>
        <v>227</v>
      </c>
      <c r="B228" s="5">
        <f t="shared" ca="1" si="41"/>
        <v>227</v>
      </c>
      <c r="C228" s="6">
        <f t="shared" ca="1" si="43"/>
        <v>62.768797644367112</v>
      </c>
      <c r="D228" s="20">
        <f t="shared" ca="1" si="42"/>
        <v>7.1762874559099243E-3</v>
      </c>
      <c r="E228" s="19">
        <f t="shared" ca="1" si="48"/>
        <v>6.0000000000000053E-2</v>
      </c>
      <c r="F228" s="9">
        <f t="shared" ca="1" si="38"/>
        <v>1.883108956490968</v>
      </c>
      <c r="G228" s="6">
        <f t="shared" ca="1" si="39"/>
        <v>1.8830639293310132</v>
      </c>
      <c r="H228" s="6">
        <f t="shared" ca="1" si="40"/>
        <v>1.6947575363979119</v>
      </c>
      <c r="I228" s="9">
        <f t="shared" ca="1" si="44"/>
        <v>4.5027159954802443E-5</v>
      </c>
      <c r="J228" s="6">
        <f t="shared" ca="1" si="45"/>
        <v>3.7661251570324326</v>
      </c>
      <c r="K228" s="9">
        <f t="shared" ca="1" si="46"/>
        <v>3.7661701841923874</v>
      </c>
      <c r="L228" s="6">
        <f t="shared" ca="1" si="47"/>
        <v>5.4609277205902993</v>
      </c>
      <c r="N228" s="9"/>
      <c r="O228" s="9"/>
      <c r="P228" s="9"/>
    </row>
    <row r="229" spans="1:16" x14ac:dyDescent="0.2">
      <c r="A229">
        <f t="shared" si="37"/>
        <v>228</v>
      </c>
      <c r="B229" s="5">
        <f t="shared" ca="1" si="41"/>
        <v>228</v>
      </c>
      <c r="C229" s="6">
        <f t="shared" ca="1" si="43"/>
        <v>59.002627460174722</v>
      </c>
      <c r="D229" s="20">
        <f t="shared" ca="1" si="42"/>
        <v>7.1762874559099243E-3</v>
      </c>
      <c r="E229" s="19">
        <f t="shared" ca="1" si="48"/>
        <v>6.0000000000000053E-2</v>
      </c>
      <c r="F229" s="9">
        <f t="shared" ca="1" si="38"/>
        <v>1.7701211493052369</v>
      </c>
      <c r="G229" s="6">
        <f t="shared" ca="1" si="39"/>
        <v>1.7700788238052416</v>
      </c>
      <c r="H229" s="6">
        <f t="shared" ca="1" si="40"/>
        <v>1.5930709414247175</v>
      </c>
      <c r="I229" s="9">
        <f t="shared" ca="1" si="44"/>
        <v>4.2325499995277127E-5</v>
      </c>
      <c r="J229" s="6">
        <f t="shared" ca="1" si="45"/>
        <v>3.5401551080804867</v>
      </c>
      <c r="K229" s="9">
        <f t="shared" ca="1" si="46"/>
        <v>3.5401974335804818</v>
      </c>
      <c r="L229" s="6">
        <f t="shared" ca="1" si="47"/>
        <v>5.1332683750051995</v>
      </c>
      <c r="N229" s="9"/>
      <c r="O229" s="9"/>
      <c r="P229" s="9"/>
    </row>
    <row r="230" spans="1:16" x14ac:dyDescent="0.2">
      <c r="A230">
        <f t="shared" si="37"/>
        <v>229</v>
      </c>
      <c r="B230" s="5">
        <f t="shared" ca="1" si="41"/>
        <v>229</v>
      </c>
      <c r="C230" s="6">
        <f t="shared" ca="1" si="43"/>
        <v>55.462430026594241</v>
      </c>
      <c r="D230" s="20">
        <f t="shared" ca="1" si="42"/>
        <v>7.1762874559099243E-3</v>
      </c>
      <c r="E230" s="19">
        <f t="shared" ca="1" si="48"/>
        <v>6.0000000000000053E-2</v>
      </c>
      <c r="F230" s="9">
        <f t="shared" ca="1" si="38"/>
        <v>1.6639126867392822</v>
      </c>
      <c r="G230" s="6">
        <f t="shared" ca="1" si="39"/>
        <v>1.6638729007978272</v>
      </c>
      <c r="H230" s="6">
        <f t="shared" ca="1" si="40"/>
        <v>1.4974856107180445</v>
      </c>
      <c r="I230" s="9">
        <f t="shared" ca="1" si="44"/>
        <v>3.978594145492842E-5</v>
      </c>
      <c r="J230" s="6">
        <f t="shared" ca="1" si="45"/>
        <v>3.32774341443917</v>
      </c>
      <c r="K230" s="9">
        <f t="shared" ca="1" si="46"/>
        <v>3.3277832003806251</v>
      </c>
      <c r="L230" s="6">
        <f t="shared" ca="1" si="47"/>
        <v>4.8252688110986695</v>
      </c>
      <c r="N230" s="9"/>
      <c r="O230" s="9"/>
      <c r="P230" s="9"/>
    </row>
    <row r="231" spans="1:16" x14ac:dyDescent="0.2">
      <c r="A231">
        <f t="shared" si="37"/>
        <v>230</v>
      </c>
      <c r="B231" s="5">
        <f t="shared" ca="1" si="41"/>
        <v>230</v>
      </c>
      <c r="C231" s="6">
        <f t="shared" ca="1" si="43"/>
        <v>52.134646826213618</v>
      </c>
      <c r="D231" s="20">
        <f t="shared" ca="1" si="42"/>
        <v>7.1762874559099243E-3</v>
      </c>
      <c r="E231" s="19">
        <f t="shared" ca="1" si="48"/>
        <v>6.0000000000000053E-2</v>
      </c>
      <c r="F231" s="9">
        <f t="shared" ca="1" si="38"/>
        <v>1.5640768035445483</v>
      </c>
      <c r="G231" s="6">
        <f t="shared" ca="1" si="39"/>
        <v>1.5640394047864086</v>
      </c>
      <c r="H231" s="6">
        <f t="shared" ca="1" si="40"/>
        <v>1.4076354643077678</v>
      </c>
      <c r="I231" s="9">
        <f t="shared" ca="1" si="44"/>
        <v>3.7398758139683963E-5</v>
      </c>
      <c r="J231" s="6">
        <f t="shared" ca="1" si="45"/>
        <v>3.1280765656473317</v>
      </c>
      <c r="K231" s="9">
        <f t="shared" ca="1" si="46"/>
        <v>3.1281139644054714</v>
      </c>
      <c r="L231" s="6">
        <f t="shared" ca="1" si="47"/>
        <v>4.5357494287132392</v>
      </c>
      <c r="N231" s="9"/>
      <c r="O231" s="9"/>
      <c r="P231" s="9"/>
    </row>
    <row r="232" spans="1:16" x14ac:dyDescent="0.2">
      <c r="A232">
        <f t="shared" si="37"/>
        <v>231</v>
      </c>
      <c r="B232" s="5">
        <f t="shared" ca="1" si="41"/>
        <v>231</v>
      </c>
      <c r="C232" s="6">
        <f t="shared" ca="1" si="43"/>
        <v>49.006532861808147</v>
      </c>
      <c r="D232" s="20">
        <f t="shared" ca="1" si="42"/>
        <v>7.1762874559099243E-3</v>
      </c>
      <c r="E232" s="19">
        <f t="shared" ca="1" si="48"/>
        <v>6.0000000000000053E-2</v>
      </c>
      <c r="F232" s="9">
        <f t="shared" ca="1" si="38"/>
        <v>1.4702311406616775</v>
      </c>
      <c r="G232" s="6">
        <f t="shared" ca="1" si="39"/>
        <v>1.4701959858542444</v>
      </c>
      <c r="H232" s="6">
        <f t="shared" ca="1" si="40"/>
        <v>1.32317638726882</v>
      </c>
      <c r="I232" s="9">
        <f t="shared" ca="1" si="44"/>
        <v>3.5154807433102064E-5</v>
      </c>
      <c r="J232" s="6">
        <f t="shared" ca="1" si="45"/>
        <v>2.9403898624200453</v>
      </c>
      <c r="K232" s="9">
        <f t="shared" ca="1" si="46"/>
        <v>2.9404250172274784</v>
      </c>
      <c r="L232" s="6">
        <f t="shared" ca="1" si="47"/>
        <v>4.2636014044962982</v>
      </c>
      <c r="N232" s="9"/>
      <c r="O232" s="9"/>
      <c r="P232" s="9"/>
    </row>
    <row r="233" spans="1:16" x14ac:dyDescent="0.2">
      <c r="A233">
        <f t="shared" si="37"/>
        <v>232</v>
      </c>
      <c r="B233" s="5">
        <f t="shared" ca="1" si="41"/>
        <v>232</v>
      </c>
      <c r="C233" s="6">
        <f t="shared" ca="1" si="43"/>
        <v>46.066107844580671</v>
      </c>
      <c r="D233" s="20">
        <f t="shared" ca="1" si="42"/>
        <v>7.1762874559099243E-3</v>
      </c>
      <c r="E233" s="19">
        <f t="shared" ca="1" si="48"/>
        <v>6.0000000000000053E-2</v>
      </c>
      <c r="F233" s="9">
        <f t="shared" ca="1" si="38"/>
        <v>1.3820162808327019</v>
      </c>
      <c r="G233" s="6">
        <f t="shared" ca="1" si="39"/>
        <v>1.3819832353374202</v>
      </c>
      <c r="H233" s="6">
        <f t="shared" ca="1" si="40"/>
        <v>1.2437849118036781</v>
      </c>
      <c r="I233" s="9">
        <f t="shared" ca="1" si="44"/>
        <v>3.3045495281713855E-5</v>
      </c>
      <c r="J233" s="6">
        <f t="shared" ca="1" si="45"/>
        <v>2.7639644879451262</v>
      </c>
      <c r="K233" s="9">
        <f t="shared" ca="1" si="46"/>
        <v>2.7639975334404081</v>
      </c>
      <c r="L233" s="6">
        <f t="shared" ca="1" si="47"/>
        <v>4.0077824452440858</v>
      </c>
      <c r="N233" s="9"/>
      <c r="O233" s="9"/>
      <c r="P233" s="9"/>
    </row>
    <row r="234" spans="1:16" x14ac:dyDescent="0.2">
      <c r="A234">
        <f t="shared" si="37"/>
        <v>233</v>
      </c>
      <c r="B234" s="5">
        <f t="shared" ca="1" si="41"/>
        <v>233</v>
      </c>
      <c r="C234" s="6">
        <f t="shared" ca="1" si="43"/>
        <v>43.302110311140261</v>
      </c>
      <c r="D234" s="20">
        <f t="shared" ca="1" si="42"/>
        <v>7.1762874559099243E-3</v>
      </c>
      <c r="E234" s="19">
        <f t="shared" ca="1" si="48"/>
        <v>6.0000000000000053E-2</v>
      </c>
      <c r="F234" s="9">
        <f t="shared" ca="1" si="38"/>
        <v>1.2990943720774899</v>
      </c>
      <c r="G234" s="6">
        <f t="shared" ca="1" si="39"/>
        <v>1.2990633093342079</v>
      </c>
      <c r="H234" s="6">
        <f t="shared" ca="1" si="40"/>
        <v>1.1691569784007871</v>
      </c>
      <c r="I234" s="9">
        <f t="shared" ca="1" si="44"/>
        <v>3.1062743282017635E-5</v>
      </c>
      <c r="J234" s="6">
        <f t="shared" ca="1" si="45"/>
        <v>2.5981247549038211</v>
      </c>
      <c r="K234" s="9">
        <f t="shared" ca="1" si="46"/>
        <v>2.5981558176471031</v>
      </c>
      <c r="L234" s="6">
        <f t="shared" ca="1" si="47"/>
        <v>3.7673127960478903</v>
      </c>
      <c r="N234" s="9"/>
      <c r="O234" s="9"/>
      <c r="P234" s="9"/>
    </row>
    <row r="235" spans="1:16" x14ac:dyDescent="0.2">
      <c r="A235">
        <f t="shared" si="37"/>
        <v>234</v>
      </c>
      <c r="B235" s="5">
        <f t="shared" ca="1" si="41"/>
        <v>234</v>
      </c>
      <c r="C235" s="6">
        <f t="shared" ca="1" si="43"/>
        <v>40.703954493493157</v>
      </c>
      <c r="D235" s="20">
        <f t="shared" ca="1" si="42"/>
        <v>7.1762874559099243E-3</v>
      </c>
      <c r="E235" s="19">
        <f t="shared" ca="1" si="48"/>
        <v>6.0000000000000053E-2</v>
      </c>
      <c r="F235" s="9">
        <f t="shared" ca="1" si="38"/>
        <v>1.2211478337625341</v>
      </c>
      <c r="G235" s="6">
        <f t="shared" ca="1" si="39"/>
        <v>1.2211186348047947</v>
      </c>
      <c r="H235" s="6">
        <f t="shared" ca="1" si="40"/>
        <v>1.0990067713243152</v>
      </c>
      <c r="I235" s="9">
        <f t="shared" ca="1" si="44"/>
        <v>2.9198957739451359E-5</v>
      </c>
      <c r="J235" s="6">
        <f t="shared" ca="1" si="45"/>
        <v>2.4422355176721271</v>
      </c>
      <c r="K235" s="9">
        <f t="shared" ca="1" si="46"/>
        <v>2.4422647166298663</v>
      </c>
      <c r="L235" s="6">
        <f t="shared" ca="1" si="47"/>
        <v>3.5412714879541816</v>
      </c>
      <c r="N235" s="9"/>
      <c r="O235" s="9"/>
      <c r="P235" s="9"/>
    </row>
    <row r="236" spans="1:16" x14ac:dyDescent="0.2">
      <c r="A236">
        <f t="shared" si="37"/>
        <v>235</v>
      </c>
      <c r="B236" s="5">
        <f t="shared" ca="1" si="41"/>
        <v>235</v>
      </c>
      <c r="C236" s="6">
        <f t="shared" ca="1" si="43"/>
        <v>38.261689776863292</v>
      </c>
      <c r="D236" s="20">
        <f t="shared" ca="1" si="42"/>
        <v>7.1762874559099243E-3</v>
      </c>
      <c r="E236" s="19">
        <f t="shared" ca="1" si="48"/>
        <v>6.0000000000000053E-2</v>
      </c>
      <c r="F236" s="9">
        <f t="shared" ca="1" si="38"/>
        <v>1.1478781403064846</v>
      </c>
      <c r="G236" s="6">
        <f t="shared" ca="1" si="39"/>
        <v>1.1478506933058987</v>
      </c>
      <c r="H236" s="6">
        <f t="shared" ca="1" si="40"/>
        <v>1.0330656239753089</v>
      </c>
      <c r="I236" s="9">
        <f t="shared" ca="1" si="44"/>
        <v>2.7447000585878456E-5</v>
      </c>
      <c r="J236" s="6">
        <f t="shared" ca="1" si="45"/>
        <v>2.2956997397917647</v>
      </c>
      <c r="K236" s="9">
        <f t="shared" ca="1" si="46"/>
        <v>2.2957271867923508</v>
      </c>
      <c r="L236" s="6">
        <f t="shared" ca="1" si="47"/>
        <v>3.3287928107676596</v>
      </c>
      <c r="N236" s="9"/>
      <c r="O236" s="9"/>
      <c r="P236" s="9"/>
    </row>
    <row r="237" spans="1:16" x14ac:dyDescent="0.2">
      <c r="A237">
        <f t="shared" si="37"/>
        <v>236</v>
      </c>
      <c r="B237" s="5">
        <f t="shared" ca="1" si="41"/>
        <v>236</v>
      </c>
      <c r="C237" s="6">
        <f t="shared" ca="1" si="43"/>
        <v>35.965962590070944</v>
      </c>
      <c r="D237" s="20">
        <f t="shared" ca="1" si="42"/>
        <v>7.1762874559099243E-3</v>
      </c>
      <c r="E237" s="19">
        <f t="shared" ca="1" si="48"/>
        <v>6.0000000000000053E-2</v>
      </c>
      <c r="F237" s="9">
        <f t="shared" ca="1" si="38"/>
        <v>1.0790046778641713</v>
      </c>
      <c r="G237" s="6">
        <f t="shared" ca="1" si="39"/>
        <v>1.0789788777021283</v>
      </c>
      <c r="H237" s="6">
        <f t="shared" ca="1" si="40"/>
        <v>0.97108098993191549</v>
      </c>
      <c r="I237" s="9">
        <f t="shared" ca="1" si="44"/>
        <v>2.5800162043010388E-5</v>
      </c>
      <c r="J237" s="6">
        <f t="shared" ca="1" si="45"/>
        <v>2.1579562073945362</v>
      </c>
      <c r="K237" s="9">
        <f t="shared" ca="1" si="46"/>
        <v>2.157982007556579</v>
      </c>
      <c r="L237" s="6">
        <f t="shared" ca="1" si="47"/>
        <v>3.1290629974884947</v>
      </c>
      <c r="N237" s="9"/>
      <c r="O237" s="9"/>
      <c r="P237" s="9"/>
    </row>
    <row r="238" spans="1:16" x14ac:dyDescent="0.2">
      <c r="A238">
        <f t="shared" si="37"/>
        <v>237</v>
      </c>
      <c r="B238" s="5">
        <f t="shared" ca="1" si="41"/>
        <v>237</v>
      </c>
      <c r="C238" s="6">
        <f t="shared" ca="1" si="43"/>
        <v>33.807980582514368</v>
      </c>
      <c r="D238" s="20">
        <f t="shared" ca="1" si="42"/>
        <v>7.1762874559099243E-3</v>
      </c>
      <c r="E238" s="19">
        <f t="shared" ca="1" si="48"/>
        <v>6.0000000000000053E-2</v>
      </c>
      <c r="F238" s="9">
        <f t="shared" ca="1" si="38"/>
        <v>1.0142636696103542</v>
      </c>
      <c r="G238" s="6">
        <f t="shared" ca="1" si="39"/>
        <v>1.014239417475431</v>
      </c>
      <c r="H238" s="6">
        <f t="shared" ca="1" si="40"/>
        <v>0.9128154757278879</v>
      </c>
      <c r="I238" s="9">
        <f t="shared" ca="1" si="44"/>
        <v>2.4252134923186119E-5</v>
      </c>
      <c r="J238" s="6">
        <f t="shared" ca="1" si="45"/>
        <v>2.0284773798227684</v>
      </c>
      <c r="K238" s="9">
        <f t="shared" ca="1" si="46"/>
        <v>2.0285016319576918</v>
      </c>
      <c r="L238" s="6">
        <f t="shared" ca="1" si="47"/>
        <v>2.9413171076855797</v>
      </c>
      <c r="N238" s="9"/>
      <c r="O238" s="9"/>
      <c r="P238" s="9"/>
    </row>
    <row r="239" spans="1:16" x14ac:dyDescent="0.2">
      <c r="A239">
        <f t="shared" si="37"/>
        <v>238</v>
      </c>
      <c r="B239" s="5">
        <f t="shared" ca="1" si="41"/>
        <v>238</v>
      </c>
      <c r="C239" s="6">
        <f t="shared" ca="1" si="43"/>
        <v>31.779478950556676</v>
      </c>
      <c r="D239" s="20">
        <f t="shared" ca="1" si="42"/>
        <v>7.1762874559099243E-3</v>
      </c>
      <c r="E239" s="19">
        <f t="shared" ca="1" si="48"/>
        <v>6.0000000000000053E-2</v>
      </c>
      <c r="F239" s="9">
        <f t="shared" ca="1" si="38"/>
        <v>0.95340716550717464</v>
      </c>
      <c r="G239" s="6">
        <f t="shared" ca="1" si="39"/>
        <v>0.95338436851670028</v>
      </c>
      <c r="H239" s="6">
        <f t="shared" ca="1" si="40"/>
        <v>0.85804593166503029</v>
      </c>
      <c r="I239" s="9">
        <f t="shared" ca="1" si="44"/>
        <v>2.279699047436079E-5</v>
      </c>
      <c r="J239" s="6">
        <f t="shared" ca="1" si="45"/>
        <v>1.9067673692139737</v>
      </c>
      <c r="K239" s="9">
        <f t="shared" ca="1" si="46"/>
        <v>1.906790166204448</v>
      </c>
      <c r="L239" s="6">
        <f t="shared" ca="1" si="47"/>
        <v>2.7648360978694781</v>
      </c>
      <c r="N239" s="9"/>
      <c r="O239" s="9"/>
      <c r="P239" s="9"/>
    </row>
    <row r="240" spans="1:16" x14ac:dyDescent="0.2">
      <c r="A240">
        <f t="shared" si="37"/>
        <v>239</v>
      </c>
      <c r="B240" s="5">
        <f t="shared" ca="1" si="41"/>
        <v>239</v>
      </c>
      <c r="C240" s="6">
        <f t="shared" ca="1" si="43"/>
        <v>29.872688784352228</v>
      </c>
      <c r="D240" s="20">
        <f t="shared" ca="1" si="42"/>
        <v>7.1762874559099243E-3</v>
      </c>
      <c r="E240" s="19">
        <f t="shared" ca="1" si="48"/>
        <v>6.0000000000000053E-2</v>
      </c>
      <c r="F240" s="9">
        <f t="shared" ca="1" si="38"/>
        <v>0.8962020926862404</v>
      </c>
      <c r="G240" s="6">
        <f t="shared" ca="1" si="39"/>
        <v>0.8961806635305668</v>
      </c>
      <c r="H240" s="6">
        <f t="shared" ca="1" si="40"/>
        <v>0.80656259717751011</v>
      </c>
      <c r="I240" s="9">
        <f t="shared" ca="1" si="44"/>
        <v>2.1429155673602374E-5</v>
      </c>
      <c r="J240" s="6">
        <f t="shared" ca="1" si="45"/>
        <v>1.7923600413117948</v>
      </c>
      <c r="K240" s="9">
        <f t="shared" ca="1" si="46"/>
        <v>1.7923814704674683</v>
      </c>
      <c r="L240" s="6">
        <f t="shared" ca="1" si="47"/>
        <v>2.5989440676449784</v>
      </c>
      <c r="N240" s="9"/>
      <c r="O240" s="9"/>
      <c r="P240" s="9"/>
    </row>
    <row r="241" spans="1:16" x14ac:dyDescent="0.2">
      <c r="A241">
        <f t="shared" si="37"/>
        <v>240</v>
      </c>
      <c r="B241" s="5">
        <f t="shared" ca="1" si="41"/>
        <v>240</v>
      </c>
      <c r="C241" s="6">
        <f t="shared" ca="1" si="43"/>
        <v>28.080307313884759</v>
      </c>
      <c r="D241" s="20">
        <f t="shared" ca="1" si="42"/>
        <v>7.1762874559099243E-3</v>
      </c>
      <c r="E241" s="19">
        <f t="shared" ca="1" si="48"/>
        <v>6.0000000000000053E-2</v>
      </c>
      <c r="F241" s="9">
        <f t="shared" ca="1" si="38"/>
        <v>0.84242936280842606</v>
      </c>
      <c r="G241" s="6">
        <f t="shared" ca="1" si="39"/>
        <v>0.84240921941654279</v>
      </c>
      <c r="H241" s="6">
        <f t="shared" ca="1" si="40"/>
        <v>0.75816829747488845</v>
      </c>
      <c r="I241" s="9">
        <f t="shared" ca="1" si="44"/>
        <v>2.0143391883276074E-5</v>
      </c>
      <c r="J241" s="6">
        <f t="shared" ca="1" si="45"/>
        <v>1.6848172302295741</v>
      </c>
      <c r="K241" s="9">
        <f t="shared" ca="1" si="46"/>
        <v>1.6848373736214572</v>
      </c>
      <c r="L241" s="6">
        <f t="shared" ca="1" si="47"/>
        <v>2.4430056710963459</v>
      </c>
      <c r="N241" s="9"/>
      <c r="O241" s="9"/>
      <c r="P241" s="9"/>
    </row>
    <row r="242" spans="1:16" x14ac:dyDescent="0.2">
      <c r="A242">
        <f t="shared" si="37"/>
        <v>241</v>
      </c>
      <c r="B242" s="5">
        <f t="shared" ca="1" si="41"/>
        <v>241</v>
      </c>
      <c r="C242" s="6">
        <f t="shared" ca="1" si="43"/>
        <v>26.395469940263304</v>
      </c>
      <c r="D242" s="20">
        <f t="shared" ca="1" si="42"/>
        <v>7.1762874559099243E-3</v>
      </c>
      <c r="E242" s="19">
        <f t="shared" ca="1" si="48"/>
        <v>6.0000000000000053E-2</v>
      </c>
      <c r="F242" s="9">
        <f t="shared" ca="1" si="38"/>
        <v>0.7918830329826867</v>
      </c>
      <c r="G242" s="6">
        <f t="shared" ca="1" si="39"/>
        <v>0.79186409820789905</v>
      </c>
      <c r="H242" s="6">
        <f t="shared" ca="1" si="40"/>
        <v>0.71267768838710921</v>
      </c>
      <c r="I242" s="9">
        <f t="shared" ca="1" si="44"/>
        <v>1.8934774787648934E-5</v>
      </c>
      <c r="J242" s="6">
        <f t="shared" ca="1" si="45"/>
        <v>1.5837270603293125</v>
      </c>
      <c r="K242" s="9">
        <f t="shared" ca="1" si="46"/>
        <v>1.5837459951041002</v>
      </c>
      <c r="L242" s="6">
        <f t="shared" ca="1" si="47"/>
        <v>2.2964236834912093</v>
      </c>
      <c r="N242" s="9"/>
      <c r="O242" s="9"/>
      <c r="P242" s="9"/>
    </row>
    <row r="243" spans="1:16" x14ac:dyDescent="0.2">
      <c r="A243">
        <f t="shared" si="37"/>
        <v>242</v>
      </c>
      <c r="B243" s="5">
        <f t="shared" ca="1" si="41"/>
        <v>242</v>
      </c>
      <c r="C243" s="6">
        <f t="shared" ca="1" si="43"/>
        <v>24.811723945159205</v>
      </c>
      <c r="D243" s="20">
        <f t="shared" ca="1" si="42"/>
        <v>7.1762874559099243E-3</v>
      </c>
      <c r="E243" s="19">
        <f t="shared" ca="1" si="48"/>
        <v>6.0000000000000053E-2</v>
      </c>
      <c r="F243" s="9">
        <f t="shared" ca="1" si="38"/>
        <v>0.74436951703030851</v>
      </c>
      <c r="G243" s="6">
        <f t="shared" ca="1" si="39"/>
        <v>0.74435171835477609</v>
      </c>
      <c r="H243" s="6">
        <f t="shared" ca="1" si="40"/>
        <v>0.66991654651929855</v>
      </c>
      <c r="I243" s="9">
        <f t="shared" ca="1" si="44"/>
        <v>1.7798675532421093E-5</v>
      </c>
      <c r="J243" s="6">
        <f t="shared" ca="1" si="45"/>
        <v>1.4887023687890217</v>
      </c>
      <c r="K243" s="9">
        <f t="shared" ca="1" si="46"/>
        <v>1.488720167464554</v>
      </c>
      <c r="L243" s="6">
        <f t="shared" ca="1" si="47"/>
        <v>2.1586367139838525</v>
      </c>
      <c r="N243" s="9"/>
      <c r="O243" s="9"/>
      <c r="P243" s="9"/>
    </row>
    <row r="244" spans="1:16" x14ac:dyDescent="0.2">
      <c r="A244">
        <f t="shared" si="37"/>
        <v>243</v>
      </c>
      <c r="B244" s="5">
        <f t="shared" ca="1" si="41"/>
        <v>243</v>
      </c>
      <c r="C244" s="6">
        <f t="shared" ca="1" si="43"/>
        <v>23.323003777694652</v>
      </c>
      <c r="D244" s="20">
        <f t="shared" ca="1" si="42"/>
        <v>7.1762874559099243E-3</v>
      </c>
      <c r="E244" s="19">
        <f t="shared" ca="1" si="48"/>
        <v>6.0000000000000053E-2</v>
      </c>
      <c r="F244" s="9">
        <f t="shared" ca="1" si="38"/>
        <v>0.69970684407383821</v>
      </c>
      <c r="G244" s="6">
        <f t="shared" ca="1" si="39"/>
        <v>0.69969011333083952</v>
      </c>
      <c r="H244" s="6">
        <f t="shared" ca="1" si="40"/>
        <v>0.62972110199775555</v>
      </c>
      <c r="I244" s="9">
        <f t="shared" ca="1" si="44"/>
        <v>1.6730742998682935E-5</v>
      </c>
      <c r="J244" s="6">
        <f t="shared" ca="1" si="45"/>
        <v>1.3993792228171005</v>
      </c>
      <c r="K244" s="9">
        <f t="shared" ca="1" si="46"/>
        <v>1.399395953560099</v>
      </c>
      <c r="L244" s="6">
        <f t="shared" ca="1" si="47"/>
        <v>2.0291170555578546</v>
      </c>
      <c r="N244" s="9"/>
      <c r="O244" s="9"/>
      <c r="P244" s="9"/>
    </row>
    <row r="245" spans="1:16" x14ac:dyDescent="0.2">
      <c r="A245">
        <f t="shared" si="37"/>
        <v>244</v>
      </c>
      <c r="B245" s="5">
        <f t="shared" ca="1" si="41"/>
        <v>244</v>
      </c>
      <c r="C245" s="6">
        <f t="shared" ca="1" si="43"/>
        <v>21.923607824134553</v>
      </c>
      <c r="D245" s="20">
        <f t="shared" ca="1" si="42"/>
        <v>7.1762874559099243E-3</v>
      </c>
      <c r="E245" s="19">
        <f t="shared" ca="1" si="48"/>
        <v>6.0000000000000053E-2</v>
      </c>
      <c r="F245" s="9">
        <f t="shared" ca="1" si="38"/>
        <v>0.65772396161117352</v>
      </c>
      <c r="G245" s="6">
        <f t="shared" ca="1" si="39"/>
        <v>0.65770823472403661</v>
      </c>
      <c r="H245" s="6">
        <f t="shared" ca="1" si="40"/>
        <v>0.59193741125163291</v>
      </c>
      <c r="I245" s="9">
        <f t="shared" ca="1" si="44"/>
        <v>1.572688713691317E-5</v>
      </c>
      <c r="J245" s="6">
        <f t="shared" ca="1" si="45"/>
        <v>1.3154155258348461</v>
      </c>
      <c r="K245" s="9">
        <f t="shared" ca="1" si="46"/>
        <v>1.3154312527219831</v>
      </c>
      <c r="L245" s="6">
        <f t="shared" ca="1" si="47"/>
        <v>1.907368663973616</v>
      </c>
      <c r="N245" s="9"/>
      <c r="O245" s="9"/>
      <c r="P245" s="9"/>
    </row>
    <row r="246" spans="1:16" x14ac:dyDescent="0.2">
      <c r="A246">
        <f t="shared" si="37"/>
        <v>245</v>
      </c>
      <c r="B246" s="5">
        <f t="shared" ca="1" si="41"/>
        <v>245</v>
      </c>
      <c r="C246" s="6">
        <f t="shared" ca="1" si="43"/>
        <v>20.608176571412571</v>
      </c>
      <c r="D246" s="20">
        <f t="shared" ca="1" si="42"/>
        <v>7.1762874559099243E-3</v>
      </c>
      <c r="E246" s="19">
        <f t="shared" ca="1" si="48"/>
        <v>6.0000000000000053E-2</v>
      </c>
      <c r="F246" s="9">
        <f t="shared" ca="1" si="38"/>
        <v>0.61826008040568114</v>
      </c>
      <c r="G246" s="6">
        <f t="shared" ca="1" si="39"/>
        <v>0.61824529714237708</v>
      </c>
      <c r="H246" s="6">
        <f t="shared" ca="1" si="40"/>
        <v>0.5564207674281394</v>
      </c>
      <c r="I246" s="9">
        <f t="shared" ca="1" si="44"/>
        <v>1.4783263304063432E-5</v>
      </c>
      <c r="J246" s="6">
        <f t="shared" ca="1" si="45"/>
        <v>1.2364897072889571</v>
      </c>
      <c r="K246" s="9">
        <f t="shared" ca="1" si="46"/>
        <v>1.2365044905522611</v>
      </c>
      <c r="L246" s="6">
        <f t="shared" ca="1" si="47"/>
        <v>1.7929252579804005</v>
      </c>
      <c r="N246" s="9"/>
      <c r="O246" s="9"/>
      <c r="P246" s="9"/>
    </row>
    <row r="247" spans="1:16" x14ac:dyDescent="0.2">
      <c r="A247">
        <f t="shared" si="37"/>
        <v>246</v>
      </c>
      <c r="B247" s="5">
        <f t="shared" ca="1" si="41"/>
        <v>246</v>
      </c>
      <c r="C247" s="6">
        <f t="shared" ca="1" si="43"/>
        <v>19.371672080860311</v>
      </c>
      <c r="D247" s="20">
        <f t="shared" ca="1" si="42"/>
        <v>7.1762874559099243E-3</v>
      </c>
      <c r="E247" s="19">
        <f t="shared" ca="1" si="48"/>
        <v>6.0000000000000053E-2</v>
      </c>
      <c r="F247" s="9">
        <f t="shared" ca="1" si="38"/>
        <v>0.58116405868334664</v>
      </c>
      <c r="G247" s="6">
        <f t="shared" ca="1" si="39"/>
        <v>0.5811501624258093</v>
      </c>
      <c r="H247" s="6">
        <f t="shared" ca="1" si="40"/>
        <v>0.52303514618322833</v>
      </c>
      <c r="I247" s="9">
        <f t="shared" ca="1" si="44"/>
        <v>1.389625753733803E-5</v>
      </c>
      <c r="J247" s="6">
        <f t="shared" ca="1" si="45"/>
        <v>1.1622994910761673</v>
      </c>
      <c r="K247" s="9">
        <f t="shared" ca="1" si="46"/>
        <v>1.1623133873337046</v>
      </c>
      <c r="L247" s="6">
        <f t="shared" ca="1" si="47"/>
        <v>1.6853485335169329</v>
      </c>
      <c r="N247" s="9"/>
      <c r="O247" s="9"/>
      <c r="P247" s="9"/>
    </row>
    <row r="248" spans="1:16" x14ac:dyDescent="0.2">
      <c r="A248">
        <f t="shared" si="37"/>
        <v>247</v>
      </c>
      <c r="B248" s="5">
        <f t="shared" ca="1" si="41"/>
        <v>247</v>
      </c>
      <c r="C248" s="6">
        <f t="shared" ca="1" si="43"/>
        <v>18.209358693526607</v>
      </c>
      <c r="D248" s="20">
        <f t="shared" ca="1" si="42"/>
        <v>7.1762874559099243E-3</v>
      </c>
      <c r="E248" s="19">
        <f t="shared" ca="1" si="48"/>
        <v>6.0000000000000053E-2</v>
      </c>
      <c r="F248" s="9">
        <f t="shared" ca="1" si="38"/>
        <v>0.54629382327851284</v>
      </c>
      <c r="G248" s="6">
        <f t="shared" ca="1" si="39"/>
        <v>0.54628076080579813</v>
      </c>
      <c r="H248" s="6">
        <f t="shared" ca="1" si="40"/>
        <v>0.49165268472521839</v>
      </c>
      <c r="I248" s="9">
        <f t="shared" ca="1" si="44"/>
        <v>1.3062472714708839E-5</v>
      </c>
      <c r="J248" s="6">
        <f t="shared" ca="1" si="45"/>
        <v>1.0925607378632345</v>
      </c>
      <c r="K248" s="9">
        <f t="shared" ca="1" si="46"/>
        <v>1.0925738003359493</v>
      </c>
      <c r="L248" s="6">
        <f t="shared" ca="1" si="47"/>
        <v>1.5842264850611678</v>
      </c>
      <c r="N248" s="9"/>
      <c r="O248" s="9"/>
      <c r="P248" s="9"/>
    </row>
    <row r="249" spans="1:16" x14ac:dyDescent="0.2">
      <c r="A249">
        <f t="shared" si="37"/>
        <v>248</v>
      </c>
      <c r="B249" s="5">
        <f t="shared" ca="1" si="41"/>
        <v>248</v>
      </c>
      <c r="C249" s="6">
        <f t="shared" ca="1" si="43"/>
        <v>17.116784893190658</v>
      </c>
      <c r="D249" s="20">
        <f t="shared" ca="1" si="42"/>
        <v>7.1762874559099243E-3</v>
      </c>
      <c r="E249" s="19">
        <f t="shared" ca="1" si="48"/>
        <v>6.0000000000000053E-2</v>
      </c>
      <c r="F249" s="9">
        <f t="shared" ca="1" si="38"/>
        <v>0.51351582551126351</v>
      </c>
      <c r="G249" s="6">
        <f t="shared" ca="1" si="39"/>
        <v>0.51350354679571975</v>
      </c>
      <c r="H249" s="6">
        <f t="shared" ca="1" si="40"/>
        <v>0.46215319211614775</v>
      </c>
      <c r="I249" s="9">
        <f t="shared" ca="1" si="44"/>
        <v>1.2278715543767582E-5</v>
      </c>
      <c r="J249" s="6">
        <f t="shared" ca="1" si="45"/>
        <v>1.0270063568685077</v>
      </c>
      <c r="K249" s="9">
        <f t="shared" ca="1" si="46"/>
        <v>1.0270186355840516</v>
      </c>
      <c r="L249" s="6">
        <f t="shared" ca="1" si="47"/>
        <v>1.4891718277001993</v>
      </c>
      <c r="N249" s="9"/>
      <c r="O249" s="9"/>
      <c r="P249" s="9"/>
    </row>
    <row r="250" spans="1:16" x14ac:dyDescent="0.2">
      <c r="A250">
        <f t="shared" si="37"/>
        <v>249</v>
      </c>
      <c r="B250" s="5">
        <f t="shared" ca="1" si="41"/>
        <v>249</v>
      </c>
      <c r="C250" s="6">
        <f t="shared" ca="1" si="43"/>
        <v>16.089766257606605</v>
      </c>
      <c r="D250" s="20">
        <f t="shared" ca="1" si="42"/>
        <v>7.1762874559099243E-3</v>
      </c>
      <c r="E250" s="19">
        <f t="shared" ca="1" si="48"/>
        <v>6.0000000000000053E-2</v>
      </c>
      <c r="F250" s="9">
        <f t="shared" ca="1" si="38"/>
        <v>0.48270452971252964</v>
      </c>
      <c r="G250" s="6">
        <f t="shared" ca="1" si="39"/>
        <v>0.48269298772819813</v>
      </c>
      <c r="H250" s="6">
        <f t="shared" ca="1" si="40"/>
        <v>0.43442368895537836</v>
      </c>
      <c r="I250" s="9">
        <f t="shared" ca="1" si="44"/>
        <v>1.1541984331508992E-5</v>
      </c>
      <c r="J250" s="6">
        <f t="shared" ca="1" si="45"/>
        <v>0.96538528293733727</v>
      </c>
      <c r="K250" s="9">
        <f t="shared" ca="1" si="46"/>
        <v>0.96539682492166878</v>
      </c>
      <c r="L250" s="6">
        <f t="shared" ca="1" si="47"/>
        <v>1.3998205138770472</v>
      </c>
      <c r="N250" s="9"/>
      <c r="O250" s="9"/>
      <c r="P250" s="9"/>
    </row>
    <row r="251" spans="1:16" x14ac:dyDescent="0.2">
      <c r="A251">
        <f t="shared" si="37"/>
        <v>250</v>
      </c>
      <c r="B251" s="5">
        <f t="shared" ca="1" si="41"/>
        <v>250</v>
      </c>
      <c r="C251" s="6">
        <f t="shared" ca="1" si="43"/>
        <v>15.124369432684936</v>
      </c>
      <c r="D251" s="20">
        <f t="shared" ca="1" si="42"/>
        <v>7.1762874559099243E-3</v>
      </c>
      <c r="E251" s="19">
        <f t="shared" ca="1" si="48"/>
        <v>6.0000000000000053E-2</v>
      </c>
      <c r="F251" s="9">
        <f t="shared" ca="1" si="38"/>
        <v>0.45374193243803673</v>
      </c>
      <c r="G251" s="6">
        <f t="shared" ca="1" si="39"/>
        <v>0.45373108298054809</v>
      </c>
      <c r="H251" s="6">
        <f t="shared" ca="1" si="40"/>
        <v>0.4083579746824933</v>
      </c>
      <c r="I251" s="9">
        <f t="shared" ca="1" si="44"/>
        <v>1.0849457488637526E-5</v>
      </c>
      <c r="J251" s="6">
        <f t="shared" ca="1" si="45"/>
        <v>0.90746151499364769</v>
      </c>
      <c r="K251" s="9">
        <f t="shared" ca="1" si="46"/>
        <v>0.90747236445113633</v>
      </c>
      <c r="L251" s="6">
        <f t="shared" ca="1" si="47"/>
        <v>1.3158303391336297</v>
      </c>
      <c r="N251" s="9"/>
      <c r="O251" s="9"/>
      <c r="P251" s="9"/>
    </row>
    <row r="252" spans="1:16" x14ac:dyDescent="0.2">
      <c r="A252">
        <f t="shared" si="37"/>
        <v>251</v>
      </c>
      <c r="B252" s="5">
        <f t="shared" ca="1" si="41"/>
        <v>251</v>
      </c>
      <c r="C252" s="6">
        <f t="shared" ca="1" si="43"/>
        <v>14.2168970682338</v>
      </c>
      <c r="D252" s="20">
        <f t="shared" ca="1" si="42"/>
        <v>7.1762874559099243E-3</v>
      </c>
      <c r="E252" s="19">
        <f t="shared" ca="1" si="48"/>
        <v>6.0000000000000053E-2</v>
      </c>
      <c r="F252" s="9">
        <f t="shared" ca="1" si="38"/>
        <v>0.42651711052973751</v>
      </c>
      <c r="G252" s="6">
        <f t="shared" ca="1" si="39"/>
        <v>0.42650691204701402</v>
      </c>
      <c r="H252" s="6">
        <f t="shared" ca="1" si="40"/>
        <v>0.38385622084231258</v>
      </c>
      <c r="I252" s="9">
        <f t="shared" ca="1" si="44"/>
        <v>1.0198482723489111E-5</v>
      </c>
      <c r="J252" s="6">
        <f t="shared" ca="1" si="45"/>
        <v>0.85301321218506543</v>
      </c>
      <c r="K252" s="9">
        <f t="shared" ca="1" si="46"/>
        <v>0.85302341066778897</v>
      </c>
      <c r="L252" s="6">
        <f t="shared" ca="1" si="47"/>
        <v>1.2368796315101016</v>
      </c>
      <c r="N252" s="9"/>
      <c r="O252" s="9"/>
      <c r="P252" s="9"/>
    </row>
    <row r="253" spans="1:16" x14ac:dyDescent="0.2">
      <c r="A253">
        <f t="shared" si="37"/>
        <v>252</v>
      </c>
      <c r="B253" s="5">
        <f t="shared" ca="1" si="41"/>
        <v>252</v>
      </c>
      <c r="C253" s="6">
        <f t="shared" ca="1" si="43"/>
        <v>13.36387365756601</v>
      </c>
      <c r="D253" s="20">
        <f t="shared" ca="1" si="42"/>
        <v>7.1762874559099243E-3</v>
      </c>
      <c r="E253" s="19">
        <f t="shared" ca="1" si="48"/>
        <v>6.0000000000000053E-2</v>
      </c>
      <c r="F253" s="9">
        <f t="shared" ca="1" si="38"/>
        <v>0.40092579629386343</v>
      </c>
      <c r="G253" s="6">
        <f t="shared" ca="1" si="39"/>
        <v>0.40091620972698028</v>
      </c>
      <c r="H253" s="6">
        <f t="shared" ca="1" si="40"/>
        <v>0.3608245887542823</v>
      </c>
      <c r="I253" s="9">
        <f t="shared" ca="1" si="44"/>
        <v>9.5865668831573991E-6</v>
      </c>
      <c r="J253" s="6">
        <f t="shared" ca="1" si="45"/>
        <v>0.80183184425994836</v>
      </c>
      <c r="K253" s="9">
        <f t="shared" ca="1" si="46"/>
        <v>0.80184143082683157</v>
      </c>
      <c r="L253" s="6">
        <f t="shared" ca="1" si="47"/>
        <v>1.1626660195811138</v>
      </c>
      <c r="N253" s="9"/>
      <c r="O253" s="9"/>
      <c r="P253" s="9"/>
    </row>
    <row r="254" spans="1:16" x14ac:dyDescent="0.2">
      <c r="A254">
        <f t="shared" si="37"/>
        <v>253</v>
      </c>
      <c r="B254" s="5">
        <f t="shared" ca="1" si="41"/>
        <v>253</v>
      </c>
      <c r="C254" s="6">
        <f t="shared" ca="1" si="43"/>
        <v>12.562032226739179</v>
      </c>
      <c r="D254" s="20">
        <f t="shared" ca="1" si="42"/>
        <v>7.1762874559099243E-3</v>
      </c>
      <c r="E254" s="19">
        <f t="shared" ca="1" si="48"/>
        <v>6.0000000000000053E-2</v>
      </c>
      <c r="F254" s="9">
        <f t="shared" ca="1" si="38"/>
        <v>0.37686997816858125</v>
      </c>
      <c r="G254" s="6">
        <f t="shared" ca="1" si="39"/>
        <v>0.37686096680217535</v>
      </c>
      <c r="H254" s="6">
        <f t="shared" ca="1" si="40"/>
        <v>0.33917487012195785</v>
      </c>
      <c r="I254" s="9">
        <f t="shared" ca="1" si="44"/>
        <v>9.0113664059088272E-6</v>
      </c>
      <c r="J254" s="6">
        <f t="shared" ca="1" si="45"/>
        <v>0.75372139292236706</v>
      </c>
      <c r="K254" s="9">
        <f t="shared" ca="1" si="46"/>
        <v>0.75373040428877291</v>
      </c>
      <c r="L254" s="6">
        <f t="shared" ca="1" si="47"/>
        <v>1.0929052744107308</v>
      </c>
      <c r="N254" s="9"/>
      <c r="O254" s="9"/>
      <c r="P254" s="9"/>
    </row>
    <row r="255" spans="1:16" x14ac:dyDescent="0.2">
      <c r="A255">
        <f t="shared" si="37"/>
        <v>254</v>
      </c>
      <c r="B255" s="5">
        <f t="shared" ca="1" si="41"/>
        <v>254</v>
      </c>
      <c r="C255" s="6">
        <f t="shared" ca="1" si="43"/>
        <v>11.808301822450407</v>
      </c>
      <c r="D255" s="20">
        <f t="shared" ca="1" si="42"/>
        <v>7.1762874559099243E-3</v>
      </c>
      <c r="E255" s="19">
        <f t="shared" ca="1" si="48"/>
        <v>6.0000000000000053E-2</v>
      </c>
      <c r="F255" s="9">
        <f t="shared" ca="1" si="38"/>
        <v>0.35425752535185728</v>
      </c>
      <c r="G255" s="6">
        <f t="shared" ca="1" si="39"/>
        <v>0.3542490546735122</v>
      </c>
      <c r="H255" s="6">
        <f t="shared" ca="1" si="40"/>
        <v>0.31882414920616098</v>
      </c>
      <c r="I255" s="9">
        <f t="shared" ca="1" si="44"/>
        <v>8.4706783450849699E-6</v>
      </c>
      <c r="J255" s="6">
        <f t="shared" ca="1" si="45"/>
        <v>0.70849760110632432</v>
      </c>
      <c r="K255" s="9">
        <f t="shared" ca="1" si="46"/>
        <v>0.7085060717846694</v>
      </c>
      <c r="L255" s="6">
        <f t="shared" ca="1" si="47"/>
        <v>1.0273302209908304</v>
      </c>
      <c r="N255" s="9"/>
      <c r="O255" s="9"/>
      <c r="P255" s="9"/>
    </row>
    <row r="256" spans="1:16" x14ac:dyDescent="0.2">
      <c r="A256">
        <f t="shared" si="37"/>
        <v>255</v>
      </c>
      <c r="B256" s="5">
        <f t="shared" ca="1" si="41"/>
        <v>255</v>
      </c>
      <c r="C256" s="6">
        <f t="shared" ca="1" si="43"/>
        <v>11.099795750665738</v>
      </c>
      <c r="D256" s="20">
        <f t="shared" ca="1" si="42"/>
        <v>7.1762874559099243E-3</v>
      </c>
      <c r="E256" s="19">
        <f t="shared" ca="1" si="48"/>
        <v>6.0000000000000053E-2</v>
      </c>
      <c r="F256" s="9">
        <f t="shared" ca="1" si="38"/>
        <v>0.33300183495190466</v>
      </c>
      <c r="G256" s="6">
        <f t="shared" ca="1" si="39"/>
        <v>0.33299387251997214</v>
      </c>
      <c r="H256" s="6">
        <f t="shared" ca="1" si="40"/>
        <v>0.29969448526797493</v>
      </c>
      <c r="I256" s="9">
        <f t="shared" ca="1" si="44"/>
        <v>7.9624319325177773E-6</v>
      </c>
      <c r="J256" s="6">
        <f t="shared" ca="1" si="45"/>
        <v>0.66598726729402891</v>
      </c>
      <c r="K256" s="9">
        <f t="shared" ca="1" si="46"/>
        <v>0.66599522972596148</v>
      </c>
      <c r="L256" s="6">
        <f t="shared" ca="1" si="47"/>
        <v>0.96568971499393641</v>
      </c>
      <c r="N256" s="9"/>
      <c r="O256" s="9"/>
      <c r="P256" s="9"/>
    </row>
    <row r="257" spans="1:16" x14ac:dyDescent="0.2">
      <c r="A257">
        <f t="shared" si="37"/>
        <v>256</v>
      </c>
      <c r="B257" s="5">
        <f t="shared" ca="1" si="41"/>
        <v>256</v>
      </c>
      <c r="C257" s="6">
        <f t="shared" ca="1" si="43"/>
        <v>10.433800520939776</v>
      </c>
      <c r="D257" s="20">
        <f t="shared" ca="1" si="42"/>
        <v>7.1762874559099243E-3</v>
      </c>
      <c r="E257" s="19">
        <f t="shared" ca="1" si="48"/>
        <v>6.0000000000000053E-2</v>
      </c>
      <c r="F257" s="9">
        <f t="shared" ca="1" si="38"/>
        <v>0.31302150030884068</v>
      </c>
      <c r="G257" s="6">
        <f t="shared" ca="1" si="39"/>
        <v>0.31301401562819325</v>
      </c>
      <c r="H257" s="6">
        <f t="shared" ca="1" si="40"/>
        <v>0.28171261406537396</v>
      </c>
      <c r="I257" s="9">
        <f t="shared" ca="1" si="44"/>
        <v>7.4846806474293537E-6</v>
      </c>
      <c r="J257" s="6">
        <f t="shared" ca="1" si="45"/>
        <v>0.62602758217554832</v>
      </c>
      <c r="K257" s="9">
        <f t="shared" ca="1" si="46"/>
        <v>0.62603506685619581</v>
      </c>
      <c r="L257" s="6">
        <f t="shared" ca="1" si="47"/>
        <v>0.90774768092156977</v>
      </c>
      <c r="N257" s="9"/>
      <c r="O257" s="9"/>
      <c r="P257" s="9"/>
    </row>
    <row r="258" spans="1:16" x14ac:dyDescent="0.2">
      <c r="A258">
        <f t="shared" ref="A258:A321" si="49">IF(ROW(A258)-1&gt;$O$4,"",ROW(A258)-1)</f>
        <v>257</v>
      </c>
      <c r="B258" s="5">
        <f t="shared" ca="1" si="41"/>
        <v>257</v>
      </c>
      <c r="C258" s="6">
        <f t="shared" ca="1" si="43"/>
        <v>9.8077654540835812</v>
      </c>
      <c r="D258" s="20">
        <f t="shared" ca="1" si="42"/>
        <v>7.1762874559099243E-3</v>
      </c>
      <c r="E258" s="19">
        <f t="shared" ca="1" si="48"/>
        <v>6.0000000000000053E-2</v>
      </c>
      <c r="F258" s="9">
        <f t="shared" ref="F258:F321" ca="1" si="50">IFERROR(-PMT($O$2, $O$4, C258, 0,0),0)</f>
        <v>0.29423999921726901</v>
      </c>
      <c r="G258" s="6">
        <f t="shared" ref="G258:G321" ca="1" si="51">C258*$O$2</f>
        <v>0.29423296362250745</v>
      </c>
      <c r="H258" s="6">
        <f t="shared" ref="H258:H321" ca="1" si="52">C258*$O$6</f>
        <v>0.26480966726025668</v>
      </c>
      <c r="I258" s="9">
        <f t="shared" ca="1" si="44"/>
        <v>7.035594761561903E-6</v>
      </c>
      <c r="J258" s="6">
        <f t="shared" ca="1" si="45"/>
        <v>0.58846550510932971</v>
      </c>
      <c r="K258" s="9">
        <f t="shared" ca="1" si="46"/>
        <v>0.58847254070409127</v>
      </c>
      <c r="L258" s="6">
        <f t="shared" ca="1" si="47"/>
        <v>0.85328220796434795</v>
      </c>
      <c r="N258" s="9"/>
      <c r="O258" s="9"/>
      <c r="P258" s="9"/>
    </row>
    <row r="259" spans="1:16" x14ac:dyDescent="0.2">
      <c r="A259">
        <f t="shared" si="49"/>
        <v>258</v>
      </c>
      <c r="B259" s="5">
        <f t="shared" ref="B259:B322" ca="1" si="53">IF(ROW(B259)-1&gt;$O$5, "", OFFSET(B258, 0,0)+1)</f>
        <v>258</v>
      </c>
      <c r="C259" s="6">
        <f t="shared" ca="1" si="43"/>
        <v>9.2192929133794905</v>
      </c>
      <c r="D259" s="20">
        <f t="shared" ref="D259:D322" ca="1" si="54">1-(1-(E259/100))^12</f>
        <v>7.1762874559099243E-3</v>
      </c>
      <c r="E259" s="19">
        <f t="shared" ca="1" si="48"/>
        <v>6.0000000000000053E-2</v>
      </c>
      <c r="F259" s="9">
        <f t="shared" ca="1" si="50"/>
        <v>0.27658540085571642</v>
      </c>
      <c r="G259" s="6">
        <f t="shared" ca="1" si="51"/>
        <v>0.2765787874013847</v>
      </c>
      <c r="H259" s="6">
        <f t="shared" ca="1" si="52"/>
        <v>0.24892090866124625</v>
      </c>
      <c r="I259" s="9">
        <f t="shared" ca="1" si="44"/>
        <v>6.6134543317275529E-6</v>
      </c>
      <c r="J259" s="6">
        <f t="shared" ca="1" si="45"/>
        <v>0.55315717799551001</v>
      </c>
      <c r="K259" s="9">
        <f t="shared" ca="1" si="46"/>
        <v>0.55316379144984174</v>
      </c>
      <c r="L259" s="6">
        <f t="shared" ca="1" si="47"/>
        <v>0.80208470011108801</v>
      </c>
      <c r="N259" s="9"/>
      <c r="O259" s="9"/>
      <c r="P259" s="9"/>
    </row>
    <row r="260" spans="1:16" x14ac:dyDescent="0.2">
      <c r="A260">
        <f t="shared" si="49"/>
        <v>259</v>
      </c>
      <c r="B260" s="5">
        <f t="shared" ca="1" si="53"/>
        <v>259</v>
      </c>
      <c r="C260" s="6">
        <f t="shared" ref="C260:C323" ca="1" si="55">IFERROR(C259-K259,0)</f>
        <v>8.6661291219296483</v>
      </c>
      <c r="D260" s="20">
        <f t="shared" ca="1" si="54"/>
        <v>7.1762874559099243E-3</v>
      </c>
      <c r="E260" s="19">
        <f t="shared" ca="1" si="48"/>
        <v>6.0000000000000053E-2</v>
      </c>
      <c r="F260" s="9">
        <f t="shared" ca="1" si="50"/>
        <v>0.25999009030050174</v>
      </c>
      <c r="G260" s="6">
        <f t="shared" ca="1" si="51"/>
        <v>0.25998387365788944</v>
      </c>
      <c r="H260" s="6">
        <f t="shared" ca="1" si="52"/>
        <v>0.2339854862921005</v>
      </c>
      <c r="I260" s="9">
        <f t="shared" ca="1" si="44"/>
        <v>6.2166426123000385E-6</v>
      </c>
      <c r="J260" s="6">
        <f t="shared" ca="1" si="45"/>
        <v>0.51996737431722262</v>
      </c>
      <c r="K260" s="9">
        <f t="shared" ca="1" si="46"/>
        <v>0.51997359095983486</v>
      </c>
      <c r="L260" s="6">
        <f t="shared" ca="1" si="47"/>
        <v>0.75395907725193534</v>
      </c>
      <c r="N260" s="9"/>
      <c r="O260" s="9"/>
      <c r="P260" s="9"/>
    </row>
    <row r="261" spans="1:16" x14ac:dyDescent="0.2">
      <c r="A261">
        <f t="shared" si="49"/>
        <v>260</v>
      </c>
      <c r="B261" s="5">
        <f t="shared" ca="1" si="53"/>
        <v>260</v>
      </c>
      <c r="C261" s="6">
        <f t="shared" ca="1" si="55"/>
        <v>8.1461555309698142</v>
      </c>
      <c r="D261" s="20">
        <f t="shared" ca="1" si="54"/>
        <v>7.1762874559099243E-3</v>
      </c>
      <c r="E261" s="19">
        <f t="shared" ca="1" si="48"/>
        <v>6.0000000000000053E-2</v>
      </c>
      <c r="F261" s="9">
        <f t="shared" ca="1" si="50"/>
        <v>0.24439050956895811</v>
      </c>
      <c r="G261" s="6">
        <f t="shared" ca="1" si="51"/>
        <v>0.24438466592909441</v>
      </c>
      <c r="H261" s="6">
        <f t="shared" ca="1" si="52"/>
        <v>0.21994619933618498</v>
      </c>
      <c r="I261" s="9">
        <f t="shared" ref="I261:I324" ca="1" si="56">F261-G261</f>
        <v>5.8436398636951825E-6</v>
      </c>
      <c r="J261" s="6">
        <f t="shared" ref="J261:J324" ca="1" si="57">E261*(C261-I261)</f>
        <v>0.48876898123979745</v>
      </c>
      <c r="K261" s="9">
        <f t="shared" ref="K261:K324" ca="1" si="58">(I261+J261)</f>
        <v>0.48877482487966117</v>
      </c>
      <c r="L261" s="6">
        <f t="shared" ref="L261:L324" ca="1" si="59">(H261+K261)</f>
        <v>0.70872102421584615</v>
      </c>
      <c r="N261" s="9"/>
      <c r="O261" s="9"/>
      <c r="P261" s="9"/>
    </row>
    <row r="262" spans="1:16" x14ac:dyDescent="0.2">
      <c r="A262">
        <f t="shared" si="49"/>
        <v>261</v>
      </c>
      <c r="B262" s="5">
        <f t="shared" ca="1" si="53"/>
        <v>261</v>
      </c>
      <c r="C262" s="6">
        <f t="shared" ca="1" si="55"/>
        <v>7.6573807060901533</v>
      </c>
      <c r="D262" s="20">
        <f t="shared" ca="1" si="54"/>
        <v>7.1762874559099243E-3</v>
      </c>
      <c r="E262" s="19">
        <f t="shared" ca="1" si="48"/>
        <v>6.0000000000000053E-2</v>
      </c>
      <c r="F262" s="9">
        <f t="shared" ca="1" si="50"/>
        <v>0.229726914200236</v>
      </c>
      <c r="G262" s="6">
        <f t="shared" ca="1" si="51"/>
        <v>0.22972142118270458</v>
      </c>
      <c r="H262" s="6">
        <f t="shared" ca="1" si="52"/>
        <v>0.20674927906443413</v>
      </c>
      <c r="I262" s="9">
        <f t="shared" ca="1" si="56"/>
        <v>5.4930175314160667E-6</v>
      </c>
      <c r="J262" s="6">
        <f t="shared" ca="1" si="57"/>
        <v>0.45944251278435772</v>
      </c>
      <c r="K262" s="9">
        <f t="shared" ca="1" si="58"/>
        <v>0.45944800580188916</v>
      </c>
      <c r="L262" s="6">
        <f t="shared" ca="1" si="59"/>
        <v>0.66619728486632335</v>
      </c>
      <c r="N262" s="9"/>
      <c r="O262" s="9"/>
      <c r="P262" s="9"/>
    </row>
    <row r="263" spans="1:16" x14ac:dyDescent="0.2">
      <c r="A263">
        <f t="shared" si="49"/>
        <v>262</v>
      </c>
      <c r="B263" s="5">
        <f t="shared" ca="1" si="53"/>
        <v>262</v>
      </c>
      <c r="C263" s="6">
        <f t="shared" ca="1" si="55"/>
        <v>7.1979327002882645</v>
      </c>
      <c r="D263" s="20">
        <f t="shared" ca="1" si="54"/>
        <v>7.1762874559099243E-3</v>
      </c>
      <c r="E263" s="19">
        <f t="shared" ca="1" si="48"/>
        <v>6.0000000000000053E-2</v>
      </c>
      <c r="F263" s="9">
        <f t="shared" ca="1" si="50"/>
        <v>0.21594314444142348</v>
      </c>
      <c r="G263" s="6">
        <f t="shared" ca="1" si="51"/>
        <v>0.21593798100864792</v>
      </c>
      <c r="H263" s="6">
        <f t="shared" ca="1" si="52"/>
        <v>0.19434418290778313</v>
      </c>
      <c r="I263" s="9">
        <f t="shared" ca="1" si="56"/>
        <v>5.1634327755678555E-6</v>
      </c>
      <c r="J263" s="6">
        <f t="shared" ca="1" si="57"/>
        <v>0.43187565221132973</v>
      </c>
      <c r="K263" s="9">
        <f t="shared" ca="1" si="58"/>
        <v>0.4318808156441053</v>
      </c>
      <c r="L263" s="6">
        <f t="shared" ca="1" si="59"/>
        <v>0.6262249985518884</v>
      </c>
      <c r="N263" s="9"/>
      <c r="O263" s="9"/>
      <c r="P263" s="9"/>
    </row>
    <row r="264" spans="1:16" x14ac:dyDescent="0.2">
      <c r="A264">
        <f t="shared" si="49"/>
        <v>263</v>
      </c>
      <c r="B264" s="5">
        <f t="shared" ca="1" si="53"/>
        <v>263</v>
      </c>
      <c r="C264" s="6">
        <f t="shared" ca="1" si="55"/>
        <v>6.7660518846441589</v>
      </c>
      <c r="D264" s="20">
        <f t="shared" ca="1" si="54"/>
        <v>7.1762874559099243E-3</v>
      </c>
      <c r="E264" s="19">
        <f t="shared" ca="1" si="48"/>
        <v>6.0000000000000053E-2</v>
      </c>
      <c r="F264" s="9">
        <f t="shared" ca="1" si="50"/>
        <v>0.20298641016265204</v>
      </c>
      <c r="G264" s="6">
        <f t="shared" ca="1" si="51"/>
        <v>0.20298155653932476</v>
      </c>
      <c r="H264" s="6">
        <f t="shared" ca="1" si="52"/>
        <v>0.18268340088539228</v>
      </c>
      <c r="I264" s="9">
        <f t="shared" ca="1" si="56"/>
        <v>4.8536233272777896E-6</v>
      </c>
      <c r="J264" s="6">
        <f t="shared" ca="1" si="57"/>
        <v>0.40596282186125027</v>
      </c>
      <c r="K264" s="9">
        <f t="shared" ca="1" si="58"/>
        <v>0.40596767548457757</v>
      </c>
      <c r="L264" s="6">
        <f t="shared" ca="1" si="59"/>
        <v>0.58865107636996983</v>
      </c>
      <c r="N264" s="9"/>
      <c r="O264" s="9"/>
      <c r="P264" s="9"/>
    </row>
    <row r="265" spans="1:16" x14ac:dyDescent="0.2">
      <c r="A265">
        <f t="shared" si="49"/>
        <v>264</v>
      </c>
      <c r="B265" s="5">
        <f t="shared" ca="1" si="53"/>
        <v>264</v>
      </c>
      <c r="C265" s="6">
        <f t="shared" ca="1" si="55"/>
        <v>6.3600842091595808</v>
      </c>
      <c r="D265" s="20">
        <f t="shared" ca="1" si="54"/>
        <v>7.1762874559099243E-3</v>
      </c>
      <c r="E265" s="19">
        <f t="shared" ca="1" si="48"/>
        <v>6.0000000000000053E-2</v>
      </c>
      <c r="F265" s="9">
        <f t="shared" ca="1" si="50"/>
        <v>0.1908070886774422</v>
      </c>
      <c r="G265" s="6">
        <f t="shared" ca="1" si="51"/>
        <v>0.19080252627478742</v>
      </c>
      <c r="H265" s="6">
        <f t="shared" ca="1" si="52"/>
        <v>0.17172227364730869</v>
      </c>
      <c r="I265" s="9">
        <f t="shared" ca="1" si="56"/>
        <v>4.5624026547841368E-6</v>
      </c>
      <c r="J265" s="6">
        <f t="shared" ca="1" si="57"/>
        <v>0.38160477880541588</v>
      </c>
      <c r="K265" s="9">
        <f t="shared" ca="1" si="58"/>
        <v>0.38160934120807066</v>
      </c>
      <c r="L265" s="6">
        <f t="shared" ca="1" si="59"/>
        <v>0.55333161485537929</v>
      </c>
      <c r="N265" s="9"/>
      <c r="O265" s="9"/>
      <c r="P265" s="9"/>
    </row>
    <row r="266" spans="1:16" x14ac:dyDescent="0.2">
      <c r="A266">
        <f t="shared" si="49"/>
        <v>265</v>
      </c>
      <c r="B266" s="5">
        <f t="shared" ca="1" si="53"/>
        <v>265</v>
      </c>
      <c r="C266" s="6">
        <f t="shared" ca="1" si="55"/>
        <v>5.9784748679515101</v>
      </c>
      <c r="D266" s="20">
        <f t="shared" ca="1" si="54"/>
        <v>7.1762874559099243E-3</v>
      </c>
      <c r="E266" s="19">
        <f t="shared" ca="1" si="48"/>
        <v>6.0000000000000053E-2</v>
      </c>
      <c r="F266" s="9">
        <f t="shared" ca="1" si="50"/>
        <v>0.17935853469396432</v>
      </c>
      <c r="G266" s="6">
        <f t="shared" ca="1" si="51"/>
        <v>0.1793542460385453</v>
      </c>
      <c r="H266" s="6">
        <f t="shared" ca="1" si="52"/>
        <v>0.16141882143469077</v>
      </c>
      <c r="I266" s="9">
        <f t="shared" ca="1" si="56"/>
        <v>4.2886554190157966E-6</v>
      </c>
      <c r="J266" s="6">
        <f t="shared" ca="1" si="57"/>
        <v>0.35870823475776575</v>
      </c>
      <c r="K266" s="9">
        <f t="shared" ca="1" si="58"/>
        <v>0.35871252341318477</v>
      </c>
      <c r="L266" s="6">
        <f t="shared" ca="1" si="59"/>
        <v>0.52013134484787549</v>
      </c>
      <c r="N266" s="9"/>
      <c r="O266" s="9"/>
      <c r="P266" s="9"/>
    </row>
    <row r="267" spans="1:16" x14ac:dyDescent="0.2">
      <c r="A267">
        <f t="shared" si="49"/>
        <v>266</v>
      </c>
      <c r="B267" s="5">
        <f t="shared" ca="1" si="53"/>
        <v>266</v>
      </c>
      <c r="C267" s="6">
        <f t="shared" ca="1" si="55"/>
        <v>5.6197623445383256</v>
      </c>
      <c r="D267" s="20">
        <f t="shared" ca="1" si="54"/>
        <v>7.1762874559099243E-3</v>
      </c>
      <c r="E267" s="19">
        <f t="shared" ca="1" si="48"/>
        <v>6.0000000000000053E-2</v>
      </c>
      <c r="F267" s="9">
        <f t="shared" ca="1" si="50"/>
        <v>0.16859690166935179</v>
      </c>
      <c r="G267" s="6">
        <f t="shared" ca="1" si="51"/>
        <v>0.16859287033614975</v>
      </c>
      <c r="H267" s="6">
        <f t="shared" ca="1" si="52"/>
        <v>0.15173358330253478</v>
      </c>
      <c r="I267" s="9">
        <f t="shared" ca="1" si="56"/>
        <v>4.0313332020369685E-6</v>
      </c>
      <c r="J267" s="6">
        <f t="shared" ca="1" si="57"/>
        <v>0.33718549879230769</v>
      </c>
      <c r="K267" s="9">
        <f t="shared" ca="1" si="58"/>
        <v>0.33718953012550973</v>
      </c>
      <c r="L267" s="6">
        <f t="shared" ca="1" si="59"/>
        <v>0.48892311342804451</v>
      </c>
      <c r="N267" s="9"/>
      <c r="O267" s="9"/>
      <c r="P267" s="9"/>
    </row>
    <row r="268" spans="1:16" x14ac:dyDescent="0.2">
      <c r="A268">
        <f t="shared" si="49"/>
        <v>267</v>
      </c>
      <c r="B268" s="5">
        <f t="shared" ca="1" si="53"/>
        <v>267</v>
      </c>
      <c r="C268" s="6">
        <f t="shared" ca="1" si="55"/>
        <v>5.2825728144128155</v>
      </c>
      <c r="D268" s="20">
        <f t="shared" ca="1" si="54"/>
        <v>7.1762874559099243E-3</v>
      </c>
      <c r="E268" s="19">
        <f t="shared" ca="1" si="48"/>
        <v>6.0000000000000053E-2</v>
      </c>
      <c r="F268" s="9">
        <f t="shared" ca="1" si="50"/>
        <v>0.15848097388287599</v>
      </c>
      <c r="G268" s="6">
        <f t="shared" ca="1" si="51"/>
        <v>0.15847718443238445</v>
      </c>
      <c r="H268" s="6">
        <f t="shared" ca="1" si="52"/>
        <v>0.14262946598914603</v>
      </c>
      <c r="I268" s="9">
        <f t="shared" ca="1" si="56"/>
        <v>3.7894504915370053E-6</v>
      </c>
      <c r="J268" s="6">
        <f t="shared" ca="1" si="57"/>
        <v>0.31695414149773976</v>
      </c>
      <c r="K268" s="9">
        <f t="shared" ca="1" si="58"/>
        <v>0.31695793094823133</v>
      </c>
      <c r="L268" s="6">
        <f t="shared" ca="1" si="59"/>
        <v>0.45958739693737738</v>
      </c>
      <c r="N268" s="9"/>
      <c r="O268" s="9"/>
      <c r="P268" s="9"/>
    </row>
    <row r="269" spans="1:16" x14ac:dyDescent="0.2">
      <c r="A269">
        <f t="shared" si="49"/>
        <v>268</v>
      </c>
      <c r="B269" s="5">
        <f t="shared" ca="1" si="53"/>
        <v>268</v>
      </c>
      <c r="C269" s="6">
        <f t="shared" ca="1" si="55"/>
        <v>4.9656148834645837</v>
      </c>
      <c r="D269" s="20">
        <f t="shared" ca="1" si="54"/>
        <v>7.1762874559099243E-3</v>
      </c>
      <c r="E269" s="19">
        <f t="shared" ca="1" si="48"/>
        <v>6.0000000000000053E-2</v>
      </c>
      <c r="F269" s="9">
        <f t="shared" ca="1" si="50"/>
        <v>0.1489720085848443</v>
      </c>
      <c r="G269" s="6">
        <f t="shared" ca="1" si="51"/>
        <v>0.14896844650393751</v>
      </c>
      <c r="H269" s="6">
        <f t="shared" ca="1" si="52"/>
        <v>0.13407160185354375</v>
      </c>
      <c r="I269" s="9">
        <f t="shared" ca="1" si="56"/>
        <v>3.5620809067937742E-6</v>
      </c>
      <c r="J269" s="6">
        <f t="shared" ca="1" si="57"/>
        <v>0.29793667928302087</v>
      </c>
      <c r="K269" s="9">
        <f t="shared" ca="1" si="58"/>
        <v>0.29794024136392766</v>
      </c>
      <c r="L269" s="6">
        <f t="shared" ca="1" si="59"/>
        <v>0.43201184321747144</v>
      </c>
      <c r="N269" s="9"/>
      <c r="O269" s="9"/>
      <c r="P269" s="9"/>
    </row>
    <row r="270" spans="1:16" x14ac:dyDescent="0.2">
      <c r="A270">
        <f t="shared" si="49"/>
        <v>269</v>
      </c>
      <c r="B270" s="5">
        <f t="shared" ca="1" si="53"/>
        <v>269</v>
      </c>
      <c r="C270" s="6">
        <f t="shared" ca="1" si="55"/>
        <v>4.6676746421006561</v>
      </c>
      <c r="D270" s="20">
        <f t="shared" ca="1" si="54"/>
        <v>7.1762874559099243E-3</v>
      </c>
      <c r="E270" s="19">
        <f t="shared" ca="1" si="48"/>
        <v>6.0000000000000053E-2</v>
      </c>
      <c r="F270" s="9">
        <f t="shared" ca="1" si="50"/>
        <v>0.14003358761667012</v>
      </c>
      <c r="G270" s="6">
        <f t="shared" ca="1" si="51"/>
        <v>0.14003023926301969</v>
      </c>
      <c r="H270" s="6">
        <f t="shared" ca="1" si="52"/>
        <v>0.12602721533671771</v>
      </c>
      <c r="I270" s="9">
        <f t="shared" ca="1" si="56"/>
        <v>3.348353650428626E-6</v>
      </c>
      <c r="J270" s="6">
        <f t="shared" ca="1" si="57"/>
        <v>0.28006027762482061</v>
      </c>
      <c r="K270" s="9">
        <f t="shared" ca="1" si="58"/>
        <v>0.28006362597847101</v>
      </c>
      <c r="L270" s="6">
        <f t="shared" ca="1" si="59"/>
        <v>0.40609084131518869</v>
      </c>
      <c r="N270" s="9"/>
      <c r="O270" s="9"/>
      <c r="P270" s="9"/>
    </row>
    <row r="271" spans="1:16" x14ac:dyDescent="0.2">
      <c r="A271">
        <f t="shared" si="49"/>
        <v>270</v>
      </c>
      <c r="B271" s="5">
        <f t="shared" ca="1" si="53"/>
        <v>270</v>
      </c>
      <c r="C271" s="6">
        <f t="shared" ca="1" si="55"/>
        <v>4.3876110161221851</v>
      </c>
      <c r="D271" s="20">
        <f t="shared" ca="1" si="54"/>
        <v>7.1762874559099243E-3</v>
      </c>
      <c r="E271" s="19">
        <f t="shared" ca="1" si="48"/>
        <v>6.0000000000000053E-2</v>
      </c>
      <c r="F271" s="9">
        <f t="shared" ca="1" si="50"/>
        <v>0.13163147793383914</v>
      </c>
      <c r="G271" s="6">
        <f t="shared" ca="1" si="51"/>
        <v>0.13162833048366554</v>
      </c>
      <c r="H271" s="6">
        <f t="shared" ca="1" si="52"/>
        <v>0.11846549743529899</v>
      </c>
      <c r="I271" s="9">
        <f t="shared" ca="1" si="56"/>
        <v>3.1474501736017402E-6</v>
      </c>
      <c r="J271" s="6">
        <f t="shared" ca="1" si="57"/>
        <v>0.26325647212032094</v>
      </c>
      <c r="K271" s="9">
        <f t="shared" ca="1" si="58"/>
        <v>0.26325961957049454</v>
      </c>
      <c r="L271" s="6">
        <f t="shared" ca="1" si="59"/>
        <v>0.38172511700579353</v>
      </c>
      <c r="N271" s="9"/>
      <c r="O271" s="9"/>
      <c r="P271" s="9"/>
    </row>
    <row r="272" spans="1:16" x14ac:dyDescent="0.2">
      <c r="A272">
        <f t="shared" si="49"/>
        <v>271</v>
      </c>
      <c r="B272" s="5">
        <f t="shared" ca="1" si="53"/>
        <v>271</v>
      </c>
      <c r="C272" s="6">
        <f t="shared" ca="1" si="55"/>
        <v>4.1243513965516909</v>
      </c>
      <c r="D272" s="20">
        <f t="shared" ca="1" si="54"/>
        <v>7.1762874559099243E-3</v>
      </c>
      <c r="E272" s="19">
        <f t="shared" ca="1" si="48"/>
        <v>6.0000000000000053E-2</v>
      </c>
      <c r="F272" s="9">
        <f t="shared" ca="1" si="50"/>
        <v>0.12373350049759155</v>
      </c>
      <c r="G272" s="6">
        <f t="shared" ca="1" si="51"/>
        <v>0.12373054189655072</v>
      </c>
      <c r="H272" s="6">
        <f t="shared" ca="1" si="52"/>
        <v>0.11135748770689566</v>
      </c>
      <c r="I272" s="9">
        <f t="shared" ca="1" si="56"/>
        <v>2.9586010408255703E-6</v>
      </c>
      <c r="J272" s="6">
        <f t="shared" ca="1" si="57"/>
        <v>0.24746090627703923</v>
      </c>
      <c r="K272" s="9">
        <f t="shared" ca="1" si="58"/>
        <v>0.24746386487808006</v>
      </c>
      <c r="L272" s="6">
        <f t="shared" ca="1" si="59"/>
        <v>0.35882135258497572</v>
      </c>
      <c r="N272" s="9"/>
      <c r="O272" s="9"/>
      <c r="P272" s="9"/>
    </row>
    <row r="273" spans="1:16" x14ac:dyDescent="0.2">
      <c r="A273">
        <f t="shared" si="49"/>
        <v>272</v>
      </c>
      <c r="B273" s="5">
        <f t="shared" ca="1" si="53"/>
        <v>272</v>
      </c>
      <c r="C273" s="6">
        <f t="shared" ca="1" si="55"/>
        <v>3.8768875316736109</v>
      </c>
      <c r="D273" s="20">
        <f t="shared" ca="1" si="54"/>
        <v>7.1762874559099243E-3</v>
      </c>
      <c r="E273" s="19">
        <f t="shared" ca="1" si="48"/>
        <v>6.0000000000000053E-2</v>
      </c>
      <c r="F273" s="9">
        <f t="shared" ca="1" si="50"/>
        <v>0.11630940703319168</v>
      </c>
      <c r="G273" s="6">
        <f t="shared" ca="1" si="51"/>
        <v>0.11630662595020833</v>
      </c>
      <c r="H273" s="6">
        <f t="shared" ca="1" si="52"/>
        <v>0.10467596335518749</v>
      </c>
      <c r="I273" s="9">
        <f t="shared" ca="1" si="56"/>
        <v>2.7810829833496697E-6</v>
      </c>
      <c r="J273" s="6">
        <f t="shared" ca="1" si="57"/>
        <v>0.23261308503543784</v>
      </c>
      <c r="K273" s="9">
        <f t="shared" ca="1" si="58"/>
        <v>0.23261586611842119</v>
      </c>
      <c r="L273" s="6">
        <f t="shared" ca="1" si="59"/>
        <v>0.3372918294736087</v>
      </c>
      <c r="N273" s="9"/>
      <c r="O273" s="9"/>
      <c r="P273" s="9"/>
    </row>
    <row r="274" spans="1:16" x14ac:dyDescent="0.2">
      <c r="A274">
        <f t="shared" si="49"/>
        <v>273</v>
      </c>
      <c r="B274" s="5">
        <f t="shared" ca="1" si="53"/>
        <v>273</v>
      </c>
      <c r="C274" s="6">
        <f t="shared" ca="1" si="55"/>
        <v>3.6442716655551899</v>
      </c>
      <c r="D274" s="20">
        <f t="shared" ca="1" si="54"/>
        <v>7.1762874559099243E-3</v>
      </c>
      <c r="E274" s="19">
        <f t="shared" ca="1" si="48"/>
        <v>6.0000000000000053E-2</v>
      </c>
      <c r="F274" s="9">
        <f t="shared" ca="1" si="50"/>
        <v>0.10933076418278474</v>
      </c>
      <c r="G274" s="6">
        <f t="shared" ca="1" si="51"/>
        <v>0.1093281499666557</v>
      </c>
      <c r="H274" s="6">
        <f t="shared" ca="1" si="52"/>
        <v>9.8395334969990131E-2</v>
      </c>
      <c r="I274" s="9">
        <f t="shared" ca="1" si="56"/>
        <v>2.6142161290432231E-6</v>
      </c>
      <c r="J274" s="6">
        <f t="shared" ca="1" si="57"/>
        <v>0.21865614308034384</v>
      </c>
      <c r="K274" s="9">
        <f t="shared" ca="1" si="58"/>
        <v>0.21865875729647288</v>
      </c>
      <c r="L274" s="6">
        <f t="shared" ca="1" si="59"/>
        <v>0.31705409226646303</v>
      </c>
      <c r="N274" s="9"/>
      <c r="O274" s="9"/>
      <c r="P274" s="9"/>
    </row>
    <row r="275" spans="1:16" x14ac:dyDescent="0.2">
      <c r="A275">
        <f t="shared" si="49"/>
        <v>274</v>
      </c>
      <c r="B275" s="5">
        <f t="shared" ca="1" si="53"/>
        <v>274</v>
      </c>
      <c r="C275" s="6">
        <f t="shared" ca="1" si="55"/>
        <v>3.4256129082587172</v>
      </c>
      <c r="D275" s="20">
        <f t="shared" ca="1" si="54"/>
        <v>7.1762874559099243E-3</v>
      </c>
      <c r="E275" s="19">
        <f t="shared" ca="1" si="48"/>
        <v>6.0000000000000053E-2</v>
      </c>
      <c r="F275" s="9">
        <f t="shared" ca="1" si="50"/>
        <v>0.10277084460916004</v>
      </c>
      <c r="G275" s="6">
        <f t="shared" ca="1" si="51"/>
        <v>0.10276838724776151</v>
      </c>
      <c r="H275" s="6">
        <f t="shared" ca="1" si="52"/>
        <v>9.249154852298537E-2</v>
      </c>
      <c r="I275" s="9">
        <f t="shared" ca="1" si="56"/>
        <v>2.4573613985334752E-6</v>
      </c>
      <c r="J275" s="6">
        <f t="shared" ca="1" si="57"/>
        <v>0.20553662705383932</v>
      </c>
      <c r="K275" s="9">
        <f t="shared" ca="1" si="58"/>
        <v>0.20553908441523785</v>
      </c>
      <c r="L275" s="6">
        <f t="shared" ca="1" si="59"/>
        <v>0.29803063293822324</v>
      </c>
      <c r="N275" s="9"/>
      <c r="O275" s="9"/>
      <c r="P275" s="9"/>
    </row>
    <row r="276" spans="1:16" x14ac:dyDescent="0.2">
      <c r="A276">
        <f t="shared" si="49"/>
        <v>275</v>
      </c>
      <c r="B276" s="5">
        <f t="shared" ca="1" si="53"/>
        <v>275</v>
      </c>
      <c r="C276" s="6">
        <f t="shared" ca="1" si="55"/>
        <v>3.2200738238434794</v>
      </c>
      <c r="D276" s="20">
        <f t="shared" ca="1" si="54"/>
        <v>7.1762874559099243E-3</v>
      </c>
      <c r="E276" s="19">
        <f t="shared" ca="1" si="48"/>
        <v>6.0000000000000053E-2</v>
      </c>
      <c r="F276" s="9">
        <f t="shared" ca="1" si="50"/>
        <v>9.6604524633361971E-2</v>
      </c>
      <c r="G276" s="6">
        <f t="shared" ca="1" si="51"/>
        <v>9.6602214715304377E-2</v>
      </c>
      <c r="H276" s="6">
        <f t="shared" ca="1" si="52"/>
        <v>8.6941993243773941E-2</v>
      </c>
      <c r="I276" s="9">
        <f t="shared" ca="1" si="56"/>
        <v>2.3099180575941736E-6</v>
      </c>
      <c r="J276" s="6">
        <f t="shared" ca="1" si="57"/>
        <v>0.19320429083552548</v>
      </c>
      <c r="K276" s="9">
        <f t="shared" ca="1" si="58"/>
        <v>0.19320660075358309</v>
      </c>
      <c r="L276" s="6">
        <f t="shared" ca="1" si="59"/>
        <v>0.28014859399735703</v>
      </c>
      <c r="N276" s="9"/>
      <c r="O276" s="9"/>
      <c r="P276" s="9"/>
    </row>
    <row r="277" spans="1:16" x14ac:dyDescent="0.2">
      <c r="A277">
        <f t="shared" si="49"/>
        <v>276</v>
      </c>
      <c r="B277" s="5">
        <f t="shared" ca="1" si="53"/>
        <v>276</v>
      </c>
      <c r="C277" s="6">
        <f t="shared" ca="1" si="55"/>
        <v>3.0268672230898961</v>
      </c>
      <c r="D277" s="20">
        <f t="shared" ca="1" si="54"/>
        <v>7.1762874559099243E-3</v>
      </c>
      <c r="E277" s="19">
        <f t="shared" ca="1" si="48"/>
        <v>6.0000000000000053E-2</v>
      </c>
      <c r="F277" s="9">
        <f t="shared" ca="1" si="50"/>
        <v>9.0808188014113431E-2</v>
      </c>
      <c r="G277" s="6">
        <f t="shared" ca="1" si="51"/>
        <v>9.0806016692696875E-2</v>
      </c>
      <c r="H277" s="6">
        <f t="shared" ca="1" si="52"/>
        <v>8.17254150234272E-2</v>
      </c>
      <c r="I277" s="9">
        <f t="shared" ca="1" si="56"/>
        <v>2.1713214165552941E-6</v>
      </c>
      <c r="J277" s="6">
        <f t="shared" ca="1" si="57"/>
        <v>0.18161190310610895</v>
      </c>
      <c r="K277" s="9">
        <f t="shared" ca="1" si="58"/>
        <v>0.1816140744275255</v>
      </c>
      <c r="L277" s="6">
        <f t="shared" ca="1" si="59"/>
        <v>0.2633394894509527</v>
      </c>
      <c r="N277" s="9"/>
      <c r="O277" s="9"/>
      <c r="P277" s="9"/>
    </row>
    <row r="278" spans="1:16" x14ac:dyDescent="0.2">
      <c r="A278">
        <f t="shared" si="49"/>
        <v>277</v>
      </c>
      <c r="B278" s="5">
        <f t="shared" ca="1" si="53"/>
        <v>277</v>
      </c>
      <c r="C278" s="6">
        <f t="shared" ca="1" si="55"/>
        <v>2.8452531486623704</v>
      </c>
      <c r="D278" s="20">
        <f t="shared" ca="1" si="54"/>
        <v>7.1762874559099243E-3</v>
      </c>
      <c r="E278" s="19">
        <f t="shared" ca="1" si="48"/>
        <v>6.0000000000000053E-2</v>
      </c>
      <c r="F278" s="9">
        <f t="shared" ca="1" si="50"/>
        <v>8.5359635500538517E-2</v>
      </c>
      <c r="G278" s="6">
        <f t="shared" ca="1" si="51"/>
        <v>8.5357594459871108E-2</v>
      </c>
      <c r="H278" s="6">
        <f t="shared" ca="1" si="52"/>
        <v>7.6821835013883996E-2</v>
      </c>
      <c r="I278" s="9">
        <f t="shared" ca="1" si="56"/>
        <v>2.0410406674081782E-6</v>
      </c>
      <c r="J278" s="6">
        <f t="shared" ca="1" si="57"/>
        <v>0.17071506645730233</v>
      </c>
      <c r="K278" s="9">
        <f t="shared" ca="1" si="58"/>
        <v>0.17071710749796976</v>
      </c>
      <c r="L278" s="6">
        <f t="shared" ca="1" si="59"/>
        <v>0.24753894251185377</v>
      </c>
      <c r="N278" s="9"/>
      <c r="O278" s="9"/>
      <c r="P278" s="9"/>
    </row>
    <row r="279" spans="1:16" x14ac:dyDescent="0.2">
      <c r="A279">
        <f t="shared" si="49"/>
        <v>278</v>
      </c>
      <c r="B279" s="5">
        <f t="shared" ca="1" si="53"/>
        <v>278</v>
      </c>
      <c r="C279" s="6">
        <f t="shared" ca="1" si="55"/>
        <v>2.6745360411644006</v>
      </c>
      <c r="D279" s="20">
        <f t="shared" ca="1" si="54"/>
        <v>7.1762874559099243E-3</v>
      </c>
      <c r="E279" s="19">
        <f t="shared" ca="1" si="48"/>
        <v>6.0000000000000053E-2</v>
      </c>
      <c r="F279" s="9">
        <f t="shared" ca="1" si="50"/>
        <v>8.0237999811783089E-2</v>
      </c>
      <c r="G279" s="6">
        <f t="shared" ca="1" si="51"/>
        <v>8.0236081234932019E-2</v>
      </c>
      <c r="H279" s="6">
        <f t="shared" ca="1" si="52"/>
        <v>7.2212473111438816E-2</v>
      </c>
      <c r="I279" s="9">
        <f t="shared" ca="1" si="56"/>
        <v>1.9185768510704415E-6</v>
      </c>
      <c r="J279" s="6">
        <f t="shared" ca="1" si="57"/>
        <v>0.16047204735525311</v>
      </c>
      <c r="K279" s="9">
        <f t="shared" ca="1" si="58"/>
        <v>0.16047396593210417</v>
      </c>
      <c r="L279" s="6">
        <f t="shared" ca="1" si="59"/>
        <v>0.23268643904354297</v>
      </c>
      <c r="N279" s="9"/>
      <c r="O279" s="9"/>
      <c r="P279" s="9"/>
    </row>
    <row r="280" spans="1:16" x14ac:dyDescent="0.2">
      <c r="A280">
        <f t="shared" si="49"/>
        <v>279</v>
      </c>
      <c r="B280" s="5">
        <f t="shared" ca="1" si="53"/>
        <v>279</v>
      </c>
      <c r="C280" s="6">
        <f t="shared" ca="1" si="55"/>
        <v>2.5140620752322964</v>
      </c>
      <c r="D280" s="20">
        <f t="shared" ca="1" si="54"/>
        <v>7.1762874559099243E-3</v>
      </c>
      <c r="E280" s="19">
        <f t="shared" ca="1" si="48"/>
        <v>6.0000000000000053E-2</v>
      </c>
      <c r="F280" s="9">
        <f t="shared" ca="1" si="50"/>
        <v>7.5423665717915186E-2</v>
      </c>
      <c r="G280" s="6">
        <f t="shared" ca="1" si="51"/>
        <v>7.5421862256968883E-2</v>
      </c>
      <c r="H280" s="6">
        <f t="shared" ca="1" si="52"/>
        <v>6.7879676031271999E-2</v>
      </c>
      <c r="I280" s="9">
        <f t="shared" ca="1" si="56"/>
        <v>1.80346094630357E-6</v>
      </c>
      <c r="J280" s="6">
        <f t="shared" ca="1" si="57"/>
        <v>0.15084361630628113</v>
      </c>
      <c r="K280" s="9">
        <f t="shared" ca="1" si="58"/>
        <v>0.15084541976722743</v>
      </c>
      <c r="L280" s="6">
        <f t="shared" ca="1" si="59"/>
        <v>0.21872509579849941</v>
      </c>
      <c r="N280" s="9"/>
      <c r="O280" s="9"/>
      <c r="P280" s="9"/>
    </row>
    <row r="281" spans="1:16" x14ac:dyDescent="0.2">
      <c r="A281">
        <f t="shared" si="49"/>
        <v>280</v>
      </c>
      <c r="B281" s="5">
        <f t="shared" ca="1" si="53"/>
        <v>280</v>
      </c>
      <c r="C281" s="6">
        <f t="shared" ca="1" si="55"/>
        <v>2.3632166554650689</v>
      </c>
      <c r="D281" s="20">
        <f t="shared" ca="1" si="54"/>
        <v>7.1762874559099243E-3</v>
      </c>
      <c r="E281" s="19">
        <f t="shared" ca="1" si="48"/>
        <v>6.0000000000000053E-2</v>
      </c>
      <c r="F281" s="9">
        <f t="shared" ca="1" si="50"/>
        <v>7.0898194916025489E-2</v>
      </c>
      <c r="G281" s="6">
        <f t="shared" ca="1" si="51"/>
        <v>7.0896499663952062E-2</v>
      </c>
      <c r="H281" s="6">
        <f t="shared" ca="1" si="52"/>
        <v>6.3806849697556858E-2</v>
      </c>
      <c r="I281" s="9">
        <f t="shared" ca="1" si="56"/>
        <v>1.6952520734275778E-6</v>
      </c>
      <c r="J281" s="6">
        <f t="shared" ca="1" si="57"/>
        <v>0.14179289761277986</v>
      </c>
      <c r="K281" s="9">
        <f t="shared" ca="1" si="58"/>
        <v>0.1417945928648533</v>
      </c>
      <c r="L281" s="6">
        <f t="shared" ca="1" si="59"/>
        <v>0.20560144256241014</v>
      </c>
      <c r="N281" s="9"/>
      <c r="O281" s="9"/>
      <c r="P281" s="9"/>
    </row>
    <row r="282" spans="1:16" x14ac:dyDescent="0.2">
      <c r="A282">
        <f t="shared" si="49"/>
        <v>281</v>
      </c>
      <c r="B282" s="5">
        <f t="shared" ca="1" si="53"/>
        <v>281</v>
      </c>
      <c r="C282" s="6">
        <f t="shared" ca="1" si="55"/>
        <v>2.2214220626002157</v>
      </c>
      <c r="D282" s="20">
        <f t="shared" ca="1" si="54"/>
        <v>7.1762874559099243E-3</v>
      </c>
      <c r="E282" s="19">
        <f t="shared" ca="1" si="48"/>
        <v>6.0000000000000053E-2</v>
      </c>
      <c r="F282" s="9">
        <f t="shared" ca="1" si="50"/>
        <v>6.6644255413812359E-2</v>
      </c>
      <c r="G282" s="6">
        <f t="shared" ca="1" si="51"/>
        <v>6.6642661878006465E-2</v>
      </c>
      <c r="H282" s="6">
        <f t="shared" ca="1" si="52"/>
        <v>5.997839569020582E-2</v>
      </c>
      <c r="I282" s="9">
        <f t="shared" ca="1" si="56"/>
        <v>1.5935358058938309E-6</v>
      </c>
      <c r="J282" s="6">
        <f t="shared" ca="1" si="57"/>
        <v>0.1332852281438647</v>
      </c>
      <c r="K282" s="9">
        <f t="shared" ca="1" si="58"/>
        <v>0.1332868216796706</v>
      </c>
      <c r="L282" s="6">
        <f t="shared" ca="1" si="59"/>
        <v>0.19326521736987642</v>
      </c>
      <c r="N282" s="9"/>
      <c r="O282" s="9"/>
      <c r="P282" s="9"/>
    </row>
    <row r="283" spans="1:16" x14ac:dyDescent="0.2">
      <c r="A283">
        <f t="shared" si="49"/>
        <v>282</v>
      </c>
      <c r="B283" s="5">
        <f t="shared" ca="1" si="53"/>
        <v>282</v>
      </c>
      <c r="C283" s="6">
        <f t="shared" ca="1" si="55"/>
        <v>2.0881352409205451</v>
      </c>
      <c r="D283" s="20">
        <f t="shared" ca="1" si="54"/>
        <v>7.1762874559099243E-3</v>
      </c>
      <c r="E283" s="19">
        <f t="shared" ca="1" si="48"/>
        <v>6.0000000000000053E-2</v>
      </c>
      <c r="F283" s="9">
        <f t="shared" ca="1" si="50"/>
        <v>6.2645555150199358E-2</v>
      </c>
      <c r="G283" s="6">
        <f t="shared" ca="1" si="51"/>
        <v>6.2644057227616345E-2</v>
      </c>
      <c r="H283" s="6">
        <f t="shared" ca="1" si="52"/>
        <v>5.6379651504854716E-2</v>
      </c>
      <c r="I283" s="9">
        <f t="shared" ca="1" si="56"/>
        <v>1.4979225830130671E-6</v>
      </c>
      <c r="J283" s="6">
        <f t="shared" ca="1" si="57"/>
        <v>0.12528802457987784</v>
      </c>
      <c r="K283" s="9">
        <f t="shared" ca="1" si="58"/>
        <v>0.12528952250246084</v>
      </c>
      <c r="L283" s="6">
        <f t="shared" ca="1" si="59"/>
        <v>0.18166917400731555</v>
      </c>
      <c r="N283" s="9"/>
      <c r="O283" s="9"/>
      <c r="P283" s="9"/>
    </row>
    <row r="284" spans="1:16" x14ac:dyDescent="0.2">
      <c r="A284">
        <f t="shared" si="49"/>
        <v>283</v>
      </c>
      <c r="B284" s="5">
        <f t="shared" ca="1" si="53"/>
        <v>283</v>
      </c>
      <c r="C284" s="6">
        <f t="shared" ca="1" si="55"/>
        <v>1.9628457184180843</v>
      </c>
      <c r="D284" s="20">
        <f t="shared" ca="1" si="54"/>
        <v>7.1762874559099243E-3</v>
      </c>
      <c r="E284" s="19">
        <f t="shared" ca="1" si="48"/>
        <v>6.0000000000000053E-2</v>
      </c>
      <c r="F284" s="9">
        <f t="shared" ca="1" si="50"/>
        <v>5.8886779598760493E-2</v>
      </c>
      <c r="G284" s="6">
        <f t="shared" ca="1" si="51"/>
        <v>5.8885371552542524E-2</v>
      </c>
      <c r="H284" s="6">
        <f t="shared" ca="1" si="52"/>
        <v>5.2996834397288278E-2</v>
      </c>
      <c r="I284" s="9">
        <f t="shared" ca="1" si="56"/>
        <v>1.4080462179683062E-6</v>
      </c>
      <c r="J284" s="6">
        <f t="shared" ca="1" si="57"/>
        <v>0.11777065862231208</v>
      </c>
      <c r="K284" s="9">
        <f t="shared" ca="1" si="58"/>
        <v>0.11777206666853005</v>
      </c>
      <c r="L284" s="6">
        <f t="shared" ca="1" si="59"/>
        <v>0.17076890106581832</v>
      </c>
      <c r="N284" s="9"/>
      <c r="O284" s="9"/>
      <c r="P284" s="9"/>
    </row>
    <row r="285" spans="1:16" x14ac:dyDescent="0.2">
      <c r="A285">
        <f t="shared" si="49"/>
        <v>284</v>
      </c>
      <c r="B285" s="5">
        <f t="shared" ca="1" si="53"/>
        <v>284</v>
      </c>
      <c r="C285" s="6">
        <f t="shared" ca="1" si="55"/>
        <v>1.8450736517495543</v>
      </c>
      <c r="D285" s="20">
        <f t="shared" ca="1" si="54"/>
        <v>7.1762874559099243E-3</v>
      </c>
      <c r="E285" s="19">
        <f t="shared" ca="1" si="48"/>
        <v>6.0000000000000053E-2</v>
      </c>
      <c r="F285" s="9">
        <f t="shared" ca="1" si="50"/>
        <v>5.5353533114982055E-2</v>
      </c>
      <c r="G285" s="6">
        <f t="shared" ca="1" si="51"/>
        <v>5.5352209552486625E-2</v>
      </c>
      <c r="H285" s="6">
        <f t="shared" ca="1" si="52"/>
        <v>4.9816988597237967E-2</v>
      </c>
      <c r="I285" s="9">
        <f t="shared" ca="1" si="56"/>
        <v>1.3235624954296976E-6</v>
      </c>
      <c r="J285" s="6">
        <f t="shared" ca="1" si="57"/>
        <v>0.11070433969122363</v>
      </c>
      <c r="K285" s="9">
        <f t="shared" ca="1" si="58"/>
        <v>0.11070566325371906</v>
      </c>
      <c r="L285" s="6">
        <f t="shared" ca="1" si="59"/>
        <v>0.16052265185095702</v>
      </c>
      <c r="N285" s="9"/>
      <c r="O285" s="9"/>
      <c r="P285" s="9"/>
    </row>
    <row r="286" spans="1:16" x14ac:dyDescent="0.2">
      <c r="A286">
        <f t="shared" si="49"/>
        <v>285</v>
      </c>
      <c r="B286" s="5">
        <f t="shared" ca="1" si="53"/>
        <v>285</v>
      </c>
      <c r="C286" s="6">
        <f t="shared" ca="1" si="55"/>
        <v>1.7343679884958352</v>
      </c>
      <c r="D286" s="20">
        <f t="shared" ca="1" si="54"/>
        <v>7.1762874559099243E-3</v>
      </c>
      <c r="E286" s="19">
        <f t="shared" ca="1" si="48"/>
        <v>6.0000000000000053E-2</v>
      </c>
      <c r="F286" s="9">
        <f t="shared" ca="1" si="50"/>
        <v>5.2032283802728271E-2</v>
      </c>
      <c r="G286" s="6">
        <f t="shared" ca="1" si="51"/>
        <v>5.2031039654875051E-2</v>
      </c>
      <c r="H286" s="6">
        <f t="shared" ca="1" si="52"/>
        <v>4.6827935689387548E-2</v>
      </c>
      <c r="I286" s="9">
        <f t="shared" ca="1" si="56"/>
        <v>1.2441478532201899E-6</v>
      </c>
      <c r="J286" s="6">
        <f t="shared" ca="1" si="57"/>
        <v>0.10406200466087902</v>
      </c>
      <c r="K286" s="9">
        <f t="shared" ca="1" si="58"/>
        <v>0.10406324880873224</v>
      </c>
      <c r="L286" s="6">
        <f t="shared" ca="1" si="59"/>
        <v>0.15089118449811978</v>
      </c>
      <c r="N286" s="9"/>
      <c r="O286" s="9"/>
      <c r="P286" s="9"/>
    </row>
    <row r="287" spans="1:16" x14ac:dyDescent="0.2">
      <c r="A287">
        <f t="shared" si="49"/>
        <v>286</v>
      </c>
      <c r="B287" s="5">
        <f t="shared" ca="1" si="53"/>
        <v>286</v>
      </c>
      <c r="C287" s="6">
        <f t="shared" ca="1" si="55"/>
        <v>1.6303047396871029</v>
      </c>
      <c r="D287" s="20">
        <f t="shared" ca="1" si="54"/>
        <v>7.1762874559099243E-3</v>
      </c>
      <c r="E287" s="19">
        <f t="shared" ca="1" si="48"/>
        <v>6.0000000000000053E-2</v>
      </c>
      <c r="F287" s="9">
        <f t="shared" ca="1" si="50"/>
        <v>4.8910311688756175E-2</v>
      </c>
      <c r="G287" s="6">
        <f t="shared" ca="1" si="51"/>
        <v>4.8909142190613084E-2</v>
      </c>
      <c r="H287" s="6">
        <f t="shared" ca="1" si="52"/>
        <v>4.4018227971551777E-2</v>
      </c>
      <c r="I287" s="9">
        <f t="shared" ca="1" si="56"/>
        <v>1.1694981430915297E-6</v>
      </c>
      <c r="J287" s="6">
        <f t="shared" ca="1" si="57"/>
        <v>9.7818214211337684E-2</v>
      </c>
      <c r="K287" s="9">
        <f t="shared" ca="1" si="58"/>
        <v>9.7819383709480776E-2</v>
      </c>
      <c r="L287" s="6">
        <f t="shared" ca="1" si="59"/>
        <v>0.14183761168103254</v>
      </c>
      <c r="N287" s="9"/>
      <c r="O287" s="9"/>
      <c r="P287" s="9"/>
    </row>
    <row r="288" spans="1:16" x14ac:dyDescent="0.2">
      <c r="A288">
        <f t="shared" si="49"/>
        <v>287</v>
      </c>
      <c r="B288" s="5">
        <f t="shared" ca="1" si="53"/>
        <v>287</v>
      </c>
      <c r="C288" s="6">
        <f t="shared" ca="1" si="55"/>
        <v>1.5324853559776221</v>
      </c>
      <c r="D288" s="20">
        <f t="shared" ca="1" si="54"/>
        <v>7.1762874559099243E-3</v>
      </c>
      <c r="E288" s="19">
        <f t="shared" ca="1" si="48"/>
        <v>6.0000000000000053E-2</v>
      </c>
      <c r="F288" s="9">
        <f t="shared" ca="1" si="50"/>
        <v>4.5975660006794559E-2</v>
      </c>
      <c r="G288" s="6">
        <f t="shared" ca="1" si="51"/>
        <v>4.597456067932866E-2</v>
      </c>
      <c r="H288" s="6">
        <f t="shared" ca="1" si="52"/>
        <v>4.13771046113958E-2</v>
      </c>
      <c r="I288" s="9">
        <f t="shared" ca="1" si="56"/>
        <v>1.0993274658990804E-6</v>
      </c>
      <c r="J288" s="6">
        <f t="shared" ca="1" si="57"/>
        <v>9.1949055399009452E-2</v>
      </c>
      <c r="K288" s="9">
        <f t="shared" ca="1" si="58"/>
        <v>9.1950154726475358E-2</v>
      </c>
      <c r="L288" s="6">
        <f t="shared" ca="1" si="59"/>
        <v>0.13332725933787115</v>
      </c>
      <c r="N288" s="9"/>
      <c r="O288" s="9"/>
      <c r="P288" s="9"/>
    </row>
    <row r="289" spans="1:16" x14ac:dyDescent="0.2">
      <c r="A289">
        <f t="shared" si="49"/>
        <v>288</v>
      </c>
      <c r="B289" s="5">
        <f t="shared" ca="1" si="53"/>
        <v>288</v>
      </c>
      <c r="C289" s="6">
        <f t="shared" ca="1" si="55"/>
        <v>1.4405352012511468</v>
      </c>
      <c r="D289" s="20">
        <f t="shared" ca="1" si="54"/>
        <v>7.1762874559099243E-3</v>
      </c>
      <c r="E289" s="19">
        <f t="shared" ref="E289:E352" ca="1" si="60">IFERROR(E288,0)</f>
        <v>6.0000000000000053E-2</v>
      </c>
      <c r="F289" s="9">
        <f t="shared" ca="1" si="50"/>
        <v>4.3217089404611053E-2</v>
      </c>
      <c r="G289" s="6">
        <f t="shared" ca="1" si="51"/>
        <v>4.3216056037534402E-2</v>
      </c>
      <c r="H289" s="6">
        <f t="shared" ca="1" si="52"/>
        <v>3.889445043378096E-2</v>
      </c>
      <c r="I289" s="9">
        <f t="shared" ca="1" si="56"/>
        <v>1.0333670766513037E-6</v>
      </c>
      <c r="J289" s="6">
        <f t="shared" ca="1" si="57"/>
        <v>8.6432050073044289E-2</v>
      </c>
      <c r="K289" s="9">
        <f t="shared" ca="1" si="58"/>
        <v>8.6433083440120934E-2</v>
      </c>
      <c r="L289" s="6">
        <f t="shared" ca="1" si="59"/>
        <v>0.12532753387390189</v>
      </c>
      <c r="N289" s="9"/>
      <c r="O289" s="9"/>
      <c r="P289" s="9"/>
    </row>
    <row r="290" spans="1:16" x14ac:dyDescent="0.2">
      <c r="A290">
        <f t="shared" si="49"/>
        <v>289</v>
      </c>
      <c r="B290" s="5">
        <f t="shared" ca="1" si="53"/>
        <v>289</v>
      </c>
      <c r="C290" s="6">
        <f t="shared" ca="1" si="55"/>
        <v>1.3541021178110257</v>
      </c>
      <c r="D290" s="20">
        <f t="shared" ca="1" si="54"/>
        <v>7.1762874559099243E-3</v>
      </c>
      <c r="E290" s="19">
        <f t="shared" ca="1" si="60"/>
        <v>6.0000000000000053E-2</v>
      </c>
      <c r="F290" s="9">
        <f t="shared" ca="1" si="50"/>
        <v>4.0624034898686025E-2</v>
      </c>
      <c r="G290" s="6">
        <f t="shared" ca="1" si="51"/>
        <v>4.0623063534330768E-2</v>
      </c>
      <c r="H290" s="6">
        <f t="shared" ca="1" si="52"/>
        <v>3.6560757180897692E-2</v>
      </c>
      <c r="I290" s="9">
        <f t="shared" ca="1" si="56"/>
        <v>9.7136435525668752E-7</v>
      </c>
      <c r="J290" s="6">
        <f t="shared" ca="1" si="57"/>
        <v>8.124606878680031E-2</v>
      </c>
      <c r="K290" s="9">
        <f t="shared" ca="1" si="58"/>
        <v>8.1247040151155567E-2</v>
      </c>
      <c r="L290" s="6">
        <f t="shared" ca="1" si="59"/>
        <v>0.11780779733205327</v>
      </c>
      <c r="N290" s="9"/>
      <c r="O290" s="9"/>
      <c r="P290" s="9"/>
    </row>
    <row r="291" spans="1:16" x14ac:dyDescent="0.2">
      <c r="A291">
        <f t="shared" si="49"/>
        <v>290</v>
      </c>
      <c r="B291" s="5">
        <f t="shared" ca="1" si="53"/>
        <v>290</v>
      </c>
      <c r="C291" s="6">
        <f t="shared" ca="1" si="55"/>
        <v>1.2728550776598702</v>
      </c>
      <c r="D291" s="20">
        <f t="shared" ca="1" si="54"/>
        <v>7.1762874559099243E-3</v>
      </c>
      <c r="E291" s="19">
        <f t="shared" ca="1" si="60"/>
        <v>6.0000000000000053E-2</v>
      </c>
      <c r="F291" s="9">
        <f t="shared" ca="1" si="50"/>
        <v>3.8186565411635044E-2</v>
      </c>
      <c r="G291" s="6">
        <f t="shared" ca="1" si="51"/>
        <v>3.8185652329796101E-2</v>
      </c>
      <c r="H291" s="6">
        <f t="shared" ca="1" si="52"/>
        <v>3.4367087096816497E-2</v>
      </c>
      <c r="I291" s="9">
        <f t="shared" ca="1" si="56"/>
        <v>9.1308183894356354E-7</v>
      </c>
      <c r="J291" s="6">
        <f t="shared" ca="1" si="57"/>
        <v>7.637124987468194E-2</v>
      </c>
      <c r="K291" s="9">
        <f t="shared" ca="1" si="58"/>
        <v>7.6372162956520884E-2</v>
      </c>
      <c r="L291" s="6">
        <f t="shared" ca="1" si="59"/>
        <v>0.11073925005333737</v>
      </c>
      <c r="N291" s="9"/>
      <c r="O291" s="9"/>
      <c r="P291" s="9"/>
    </row>
    <row r="292" spans="1:16" x14ac:dyDescent="0.2">
      <c r="A292">
        <f t="shared" si="49"/>
        <v>291</v>
      </c>
      <c r="B292" s="5">
        <f t="shared" ca="1" si="53"/>
        <v>291</v>
      </c>
      <c r="C292" s="6">
        <f t="shared" ca="1" si="55"/>
        <v>1.1964829147033493</v>
      </c>
      <c r="D292" s="20">
        <f t="shared" ca="1" si="54"/>
        <v>7.1762874559099243E-3</v>
      </c>
      <c r="E292" s="19">
        <f t="shared" ca="1" si="60"/>
        <v>6.0000000000000053E-2</v>
      </c>
      <c r="F292" s="9">
        <f t="shared" ca="1" si="50"/>
        <v>3.5895345737413382E-2</v>
      </c>
      <c r="G292" s="6">
        <f t="shared" ca="1" si="51"/>
        <v>3.5894487441100478E-2</v>
      </c>
      <c r="H292" s="6">
        <f t="shared" ca="1" si="52"/>
        <v>3.2305038696990432E-2</v>
      </c>
      <c r="I292" s="9">
        <f t="shared" ca="1" si="56"/>
        <v>8.5829631290418318E-7</v>
      </c>
      <c r="J292" s="6">
        <f t="shared" ca="1" si="57"/>
        <v>7.1788923384422249E-2</v>
      </c>
      <c r="K292" s="9">
        <f t="shared" ca="1" si="58"/>
        <v>7.178978168073516E-2</v>
      </c>
      <c r="L292" s="6">
        <f t="shared" ca="1" si="59"/>
        <v>0.10409482037772559</v>
      </c>
      <c r="N292" s="9"/>
      <c r="O292" s="9"/>
      <c r="P292" s="9"/>
    </row>
    <row r="293" spans="1:16" x14ac:dyDescent="0.2">
      <c r="A293">
        <f t="shared" si="49"/>
        <v>292</v>
      </c>
      <c r="B293" s="5">
        <f t="shared" ca="1" si="53"/>
        <v>292</v>
      </c>
      <c r="C293" s="6">
        <f t="shared" ca="1" si="55"/>
        <v>1.1246931330226142</v>
      </c>
      <c r="D293" s="20">
        <f t="shared" ca="1" si="54"/>
        <v>7.1762874559099243E-3</v>
      </c>
      <c r="E293" s="19">
        <f t="shared" ca="1" si="60"/>
        <v>6.0000000000000053E-2</v>
      </c>
      <c r="F293" s="9">
        <f t="shared" ca="1" si="50"/>
        <v>3.3741600788633794E-2</v>
      </c>
      <c r="G293" s="6">
        <f t="shared" ca="1" si="51"/>
        <v>3.3740793990678426E-2</v>
      </c>
      <c r="H293" s="6">
        <f t="shared" ca="1" si="52"/>
        <v>3.0366714591610583E-2</v>
      </c>
      <c r="I293" s="9">
        <f t="shared" ca="1" si="56"/>
        <v>8.0679795536747756E-7</v>
      </c>
      <c r="J293" s="6">
        <f t="shared" ca="1" si="57"/>
        <v>6.748153957347959E-2</v>
      </c>
      <c r="K293" s="9">
        <f t="shared" ca="1" si="58"/>
        <v>6.7482346371434965E-2</v>
      </c>
      <c r="L293" s="6">
        <f t="shared" ca="1" si="59"/>
        <v>9.7849060963045548E-2</v>
      </c>
      <c r="N293" s="9"/>
      <c r="O293" s="9"/>
      <c r="P293" s="9"/>
    </row>
    <row r="294" spans="1:16" x14ac:dyDescent="0.2">
      <c r="A294">
        <f t="shared" si="49"/>
        <v>293</v>
      </c>
      <c r="B294" s="5">
        <f t="shared" ca="1" si="53"/>
        <v>293</v>
      </c>
      <c r="C294" s="6">
        <f t="shared" ca="1" si="55"/>
        <v>1.0572107866511793</v>
      </c>
      <c r="D294" s="20">
        <f t="shared" ca="1" si="54"/>
        <v>7.1762874559099243E-3</v>
      </c>
      <c r="E294" s="19">
        <f t="shared" ca="1" si="60"/>
        <v>6.0000000000000053E-2</v>
      </c>
      <c r="F294" s="9">
        <f t="shared" ca="1" si="50"/>
        <v>3.1717081989069397E-2</v>
      </c>
      <c r="G294" s="6">
        <f t="shared" ca="1" si="51"/>
        <v>3.1716323599535377E-2</v>
      </c>
      <c r="H294" s="6">
        <f t="shared" ca="1" si="52"/>
        <v>2.8544691239581841E-2</v>
      </c>
      <c r="I294" s="9">
        <f t="shared" ca="1" si="56"/>
        <v>7.5838953401963227E-7</v>
      </c>
      <c r="J294" s="6">
        <f t="shared" ca="1" si="57"/>
        <v>6.3432601695698768E-2</v>
      </c>
      <c r="K294" s="9">
        <f t="shared" ca="1" si="58"/>
        <v>6.3433360085232787E-2</v>
      </c>
      <c r="L294" s="6">
        <f t="shared" ca="1" si="59"/>
        <v>9.1978051324814625E-2</v>
      </c>
      <c r="N294" s="9"/>
      <c r="O294" s="9"/>
      <c r="P294" s="9"/>
    </row>
    <row r="295" spans="1:16" x14ac:dyDescent="0.2">
      <c r="A295">
        <f t="shared" si="49"/>
        <v>294</v>
      </c>
      <c r="B295" s="5">
        <f t="shared" ca="1" si="53"/>
        <v>294</v>
      </c>
      <c r="C295" s="6">
        <f t="shared" ca="1" si="55"/>
        <v>0.99377742656594648</v>
      </c>
      <c r="D295" s="20">
        <f t="shared" ca="1" si="54"/>
        <v>7.1762874559099243E-3</v>
      </c>
      <c r="E295" s="19">
        <f t="shared" ca="1" si="60"/>
        <v>6.0000000000000053E-2</v>
      </c>
      <c r="F295" s="9">
        <f t="shared" ca="1" si="50"/>
        <v>2.981403568262898E-2</v>
      </c>
      <c r="G295" s="6">
        <f t="shared" ca="1" si="51"/>
        <v>2.9813322796978393E-2</v>
      </c>
      <c r="H295" s="6">
        <f t="shared" ca="1" si="52"/>
        <v>2.6831990517280555E-2</v>
      </c>
      <c r="I295" s="9">
        <f t="shared" ca="1" si="56"/>
        <v>7.1288565058752473E-7</v>
      </c>
      <c r="J295" s="6">
        <f t="shared" ca="1" si="57"/>
        <v>5.9626602820817803E-2</v>
      </c>
      <c r="K295" s="9">
        <f t="shared" ca="1" si="58"/>
        <v>5.9627315706468391E-2</v>
      </c>
      <c r="L295" s="6">
        <f t="shared" ca="1" si="59"/>
        <v>8.645930622374895E-2</v>
      </c>
      <c r="N295" s="9"/>
      <c r="O295" s="9"/>
      <c r="P295" s="9"/>
    </row>
    <row r="296" spans="1:16" x14ac:dyDescent="0.2">
      <c r="A296">
        <f t="shared" si="49"/>
        <v>295</v>
      </c>
      <c r="B296" s="5">
        <f t="shared" ca="1" si="53"/>
        <v>295</v>
      </c>
      <c r="C296" s="6">
        <f t="shared" ca="1" si="55"/>
        <v>0.93415011085947808</v>
      </c>
      <c r="D296" s="20">
        <f t="shared" ca="1" si="54"/>
        <v>7.1762874559099243E-3</v>
      </c>
      <c r="E296" s="19">
        <f t="shared" ca="1" si="60"/>
        <v>6.0000000000000053E-2</v>
      </c>
      <c r="F296" s="9">
        <f t="shared" ca="1" si="50"/>
        <v>2.8025173437815191E-2</v>
      </c>
      <c r="G296" s="6">
        <f t="shared" ca="1" si="51"/>
        <v>2.802450332578434E-2</v>
      </c>
      <c r="H296" s="6">
        <f t="shared" ca="1" si="52"/>
        <v>2.5222052993205908E-2</v>
      </c>
      <c r="I296" s="9">
        <f t="shared" ca="1" si="56"/>
        <v>6.7011203085109994E-7</v>
      </c>
      <c r="J296" s="6">
        <f t="shared" ca="1" si="57"/>
        <v>5.604896644484688E-2</v>
      </c>
      <c r="K296" s="9">
        <f t="shared" ca="1" si="58"/>
        <v>5.6049636556877731E-2</v>
      </c>
      <c r="L296" s="6">
        <f t="shared" ca="1" si="59"/>
        <v>8.1271689550083639E-2</v>
      </c>
      <c r="N296" s="9"/>
      <c r="O296" s="9"/>
      <c r="P296" s="9"/>
    </row>
    <row r="297" spans="1:16" x14ac:dyDescent="0.2">
      <c r="A297">
        <f t="shared" si="49"/>
        <v>296</v>
      </c>
      <c r="B297" s="5">
        <f t="shared" ca="1" si="53"/>
        <v>296</v>
      </c>
      <c r="C297" s="6">
        <f t="shared" ca="1" si="55"/>
        <v>0.8781004743026003</v>
      </c>
      <c r="D297" s="20">
        <f t="shared" ca="1" si="54"/>
        <v>7.1762874559099243E-3</v>
      </c>
      <c r="E297" s="19">
        <f t="shared" ca="1" si="60"/>
        <v>6.0000000000000053E-2</v>
      </c>
      <c r="F297" s="9">
        <f t="shared" ca="1" si="50"/>
        <v>2.6343644133935144E-2</v>
      </c>
      <c r="G297" s="6">
        <f t="shared" ca="1" si="51"/>
        <v>2.6343014229078008E-2</v>
      </c>
      <c r="H297" s="6">
        <f t="shared" ca="1" si="52"/>
        <v>2.3708712806170207E-2</v>
      </c>
      <c r="I297" s="9">
        <f t="shared" ca="1" si="56"/>
        <v>6.2990485713565469E-7</v>
      </c>
      <c r="J297" s="6">
        <f t="shared" ca="1" si="57"/>
        <v>5.2685990663864632E-2</v>
      </c>
      <c r="K297" s="9">
        <f t="shared" ca="1" si="58"/>
        <v>5.2686620568721768E-2</v>
      </c>
      <c r="L297" s="6">
        <f t="shared" ca="1" si="59"/>
        <v>7.6395333374891974E-2</v>
      </c>
      <c r="N297" s="9"/>
      <c r="O297" s="9"/>
      <c r="P297" s="9"/>
    </row>
    <row r="298" spans="1:16" x14ac:dyDescent="0.2">
      <c r="A298">
        <f t="shared" si="49"/>
        <v>297</v>
      </c>
      <c r="B298" s="5">
        <f t="shared" ca="1" si="53"/>
        <v>297</v>
      </c>
      <c r="C298" s="6">
        <f t="shared" ca="1" si="55"/>
        <v>0.82541385373387854</v>
      </c>
      <c r="D298" s="20">
        <f t="shared" ca="1" si="54"/>
        <v>7.1762874559099243E-3</v>
      </c>
      <c r="E298" s="19">
        <f t="shared" ca="1" si="60"/>
        <v>6.0000000000000053E-2</v>
      </c>
      <c r="F298" s="9">
        <f t="shared" ca="1" si="50"/>
        <v>2.4763007722157313E-2</v>
      </c>
      <c r="G298" s="6">
        <f t="shared" ca="1" si="51"/>
        <v>2.4762415612016354E-2</v>
      </c>
      <c r="H298" s="6">
        <f t="shared" ca="1" si="52"/>
        <v>2.2286174050814719E-2</v>
      </c>
      <c r="I298" s="9">
        <f t="shared" ca="1" si="56"/>
        <v>5.9211014095950087E-7</v>
      </c>
      <c r="J298" s="6">
        <f t="shared" ca="1" si="57"/>
        <v>4.9524795697424302E-2</v>
      </c>
      <c r="K298" s="9">
        <f t="shared" ca="1" si="58"/>
        <v>4.9525387807565262E-2</v>
      </c>
      <c r="L298" s="6">
        <f t="shared" ca="1" si="59"/>
        <v>7.1811561858379974E-2</v>
      </c>
      <c r="N298" s="9"/>
      <c r="O298" s="9"/>
      <c r="P298" s="9"/>
    </row>
    <row r="299" spans="1:16" x14ac:dyDescent="0.2">
      <c r="A299">
        <f t="shared" si="49"/>
        <v>298</v>
      </c>
      <c r="B299" s="5">
        <f t="shared" ca="1" si="53"/>
        <v>298</v>
      </c>
      <c r="C299" s="6">
        <f t="shared" ca="1" si="55"/>
        <v>0.77588846592631333</v>
      </c>
      <c r="D299" s="20">
        <f t="shared" ca="1" si="54"/>
        <v>7.1762874559099243E-3</v>
      </c>
      <c r="E299" s="19">
        <f t="shared" ca="1" si="60"/>
        <v>6.0000000000000053E-2</v>
      </c>
      <c r="F299" s="9">
        <f t="shared" ca="1" si="50"/>
        <v>2.3277210560922634E-2</v>
      </c>
      <c r="G299" s="6">
        <f t="shared" ca="1" si="51"/>
        <v>2.3276653977789399E-2</v>
      </c>
      <c r="H299" s="6">
        <f t="shared" ca="1" si="52"/>
        <v>2.0948988580010458E-2</v>
      </c>
      <c r="I299" s="9">
        <f t="shared" ca="1" si="56"/>
        <v>5.5658313323492248E-7</v>
      </c>
      <c r="J299" s="6">
        <f t="shared" ca="1" si="57"/>
        <v>4.6553274560590843E-2</v>
      </c>
      <c r="K299" s="9">
        <f t="shared" ca="1" si="58"/>
        <v>4.6553831143724078E-2</v>
      </c>
      <c r="L299" s="6">
        <f t="shared" ca="1" si="59"/>
        <v>6.7502819723734536E-2</v>
      </c>
      <c r="N299" s="9"/>
      <c r="O299" s="9"/>
      <c r="P299" s="9"/>
    </row>
    <row r="300" spans="1:16" x14ac:dyDescent="0.2">
      <c r="A300">
        <f t="shared" si="49"/>
        <v>299</v>
      </c>
      <c r="B300" s="5">
        <f t="shared" ca="1" si="53"/>
        <v>299</v>
      </c>
      <c r="C300" s="6">
        <f t="shared" ca="1" si="55"/>
        <v>0.72933463478258931</v>
      </c>
      <c r="D300" s="20">
        <f t="shared" ca="1" si="54"/>
        <v>7.1762874559099243E-3</v>
      </c>
      <c r="E300" s="19">
        <f t="shared" ca="1" si="60"/>
        <v>6.0000000000000053E-2</v>
      </c>
      <c r="F300" s="9">
        <f t="shared" ca="1" si="50"/>
        <v>2.1880562231247611E-2</v>
      </c>
      <c r="G300" s="6">
        <f t="shared" ca="1" si="51"/>
        <v>2.1880039043477677E-2</v>
      </c>
      <c r="H300" s="6">
        <f t="shared" ca="1" si="52"/>
        <v>1.9692035139129913E-2</v>
      </c>
      <c r="I300" s="9">
        <f t="shared" ca="1" si="56"/>
        <v>5.2318776993381944E-7</v>
      </c>
      <c r="J300" s="6">
        <f t="shared" ca="1" si="57"/>
        <v>4.3760046695689205E-2</v>
      </c>
      <c r="K300" s="9">
        <f t="shared" ca="1" si="58"/>
        <v>4.3760569883459138E-2</v>
      </c>
      <c r="L300" s="6">
        <f t="shared" ca="1" si="59"/>
        <v>6.3452605022589051E-2</v>
      </c>
      <c r="N300" s="9"/>
      <c r="O300" s="9"/>
      <c r="P300" s="9"/>
    </row>
    <row r="301" spans="1:16" x14ac:dyDescent="0.2">
      <c r="A301">
        <f t="shared" si="49"/>
        <v>300</v>
      </c>
      <c r="B301" s="5">
        <f t="shared" ca="1" si="53"/>
        <v>300</v>
      </c>
      <c r="C301" s="6">
        <f t="shared" ca="1" si="55"/>
        <v>0.6855740648991302</v>
      </c>
      <c r="D301" s="20">
        <f t="shared" ca="1" si="54"/>
        <v>7.1762874559099243E-3</v>
      </c>
      <c r="E301" s="19">
        <f t="shared" ca="1" si="60"/>
        <v>6.0000000000000053E-2</v>
      </c>
      <c r="F301" s="9">
        <f t="shared" ca="1" si="50"/>
        <v>2.0567713743124851E-2</v>
      </c>
      <c r="G301" s="6">
        <f t="shared" ca="1" si="51"/>
        <v>2.0567221946973906E-2</v>
      </c>
      <c r="H301" s="6">
        <f t="shared" ca="1" si="52"/>
        <v>1.8510499752276515E-2</v>
      </c>
      <c r="I301" s="9">
        <f t="shared" ca="1" si="56"/>
        <v>4.917961509455504E-7</v>
      </c>
      <c r="J301" s="6">
        <f t="shared" ca="1" si="57"/>
        <v>4.1134414386178791E-2</v>
      </c>
      <c r="K301" s="9">
        <f t="shared" ca="1" si="58"/>
        <v>4.1134906182329734E-2</v>
      </c>
      <c r="L301" s="6">
        <f t="shared" ca="1" si="59"/>
        <v>5.9645405934606252E-2</v>
      </c>
      <c r="N301" s="9"/>
      <c r="O301" s="9"/>
      <c r="P301" s="9"/>
    </row>
    <row r="302" spans="1:16" x14ac:dyDescent="0.2">
      <c r="A302">
        <f t="shared" si="49"/>
        <v>301</v>
      </c>
      <c r="B302" s="5">
        <f t="shared" ca="1" si="53"/>
        <v>301</v>
      </c>
      <c r="C302" s="6">
        <f t="shared" ca="1" si="55"/>
        <v>0.64443915871680046</v>
      </c>
      <c r="D302" s="20">
        <f t="shared" ca="1" si="54"/>
        <v>7.1762874559099243E-3</v>
      </c>
      <c r="E302" s="19">
        <f t="shared" ca="1" si="60"/>
        <v>6.0000000000000053E-2</v>
      </c>
      <c r="F302" s="9">
        <f t="shared" ca="1" si="50"/>
        <v>1.9333637049554282E-2</v>
      </c>
      <c r="G302" s="6">
        <f t="shared" ca="1" si="51"/>
        <v>1.9333174761504014E-2</v>
      </c>
      <c r="H302" s="6">
        <f t="shared" ca="1" si="52"/>
        <v>1.7399857285353613E-2</v>
      </c>
      <c r="I302" s="9">
        <f t="shared" ca="1" si="56"/>
        <v>4.6228805026735098E-7</v>
      </c>
      <c r="J302" s="6">
        <f t="shared" ca="1" si="57"/>
        <v>3.8666321785725044E-2</v>
      </c>
      <c r="K302" s="9">
        <f t="shared" ca="1" si="58"/>
        <v>3.8666784073775315E-2</v>
      </c>
      <c r="L302" s="6">
        <f t="shared" ca="1" si="59"/>
        <v>5.6066641359128928E-2</v>
      </c>
      <c r="N302" s="9"/>
      <c r="O302" s="9"/>
      <c r="P302" s="9"/>
    </row>
    <row r="303" spans="1:16" x14ac:dyDescent="0.2">
      <c r="A303">
        <f t="shared" si="49"/>
        <v>302</v>
      </c>
      <c r="B303" s="5">
        <f t="shared" ca="1" si="53"/>
        <v>302</v>
      </c>
      <c r="C303" s="6">
        <f t="shared" ca="1" si="55"/>
        <v>0.60577237464302514</v>
      </c>
      <c r="D303" s="20">
        <f t="shared" ca="1" si="54"/>
        <v>7.1762874559099243E-3</v>
      </c>
      <c r="E303" s="19">
        <f t="shared" ca="1" si="60"/>
        <v>6.0000000000000053E-2</v>
      </c>
      <c r="F303" s="9">
        <f t="shared" ca="1" si="50"/>
        <v>1.8173605789746278E-2</v>
      </c>
      <c r="G303" s="6">
        <f t="shared" ca="1" si="51"/>
        <v>1.8173171239290752E-2</v>
      </c>
      <c r="H303" s="6">
        <f t="shared" ca="1" si="52"/>
        <v>1.6355854115361678E-2</v>
      </c>
      <c r="I303" s="9">
        <f t="shared" ca="1" si="56"/>
        <v>4.3455045552545646E-7</v>
      </c>
      <c r="J303" s="6">
        <f t="shared" ca="1" si="57"/>
        <v>3.6346316405554212E-2</v>
      </c>
      <c r="K303" s="9">
        <f t="shared" ca="1" si="58"/>
        <v>3.6346750956009741E-2</v>
      </c>
      <c r="L303" s="6">
        <f t="shared" ca="1" si="59"/>
        <v>5.2702605071371422E-2</v>
      </c>
      <c r="N303" s="9"/>
      <c r="O303" s="9"/>
      <c r="P303" s="9"/>
    </row>
    <row r="304" spans="1:16" x14ac:dyDescent="0.2">
      <c r="A304">
        <f t="shared" si="49"/>
        <v>303</v>
      </c>
      <c r="B304" s="5">
        <f t="shared" ca="1" si="53"/>
        <v>303</v>
      </c>
      <c r="C304" s="6">
        <f t="shared" ca="1" si="55"/>
        <v>0.56942562368701544</v>
      </c>
      <c r="D304" s="20">
        <f t="shared" ca="1" si="54"/>
        <v>7.1762874559099243E-3</v>
      </c>
      <c r="E304" s="19">
        <f t="shared" ca="1" si="60"/>
        <v>6.0000000000000053E-2</v>
      </c>
      <c r="F304" s="9">
        <f t="shared" ca="1" si="50"/>
        <v>1.7083177187745636E-2</v>
      </c>
      <c r="G304" s="6">
        <f t="shared" ca="1" si="51"/>
        <v>1.7082768710610461E-2</v>
      </c>
      <c r="H304" s="6">
        <f t="shared" ca="1" si="52"/>
        <v>1.5374491839549417E-2</v>
      </c>
      <c r="I304" s="9">
        <f t="shared" ca="1" si="56"/>
        <v>4.0847713517547235E-7</v>
      </c>
      <c r="J304" s="6">
        <f t="shared" ca="1" si="57"/>
        <v>3.4165512912592844E-2</v>
      </c>
      <c r="K304" s="9">
        <f t="shared" ca="1" si="58"/>
        <v>3.4165921389728016E-2</v>
      </c>
      <c r="L304" s="6">
        <f t="shared" ca="1" si="59"/>
        <v>4.9540413229277436E-2</v>
      </c>
      <c r="N304" s="9"/>
      <c r="O304" s="9"/>
      <c r="P304" s="9"/>
    </row>
    <row r="305" spans="1:16" x14ac:dyDescent="0.2">
      <c r="A305">
        <f t="shared" si="49"/>
        <v>304</v>
      </c>
      <c r="B305" s="5">
        <f t="shared" ca="1" si="53"/>
        <v>304</v>
      </c>
      <c r="C305" s="6">
        <f t="shared" ca="1" si="55"/>
        <v>0.53525970229728737</v>
      </c>
      <c r="D305" s="20">
        <f t="shared" ca="1" si="54"/>
        <v>7.1762874559099243E-3</v>
      </c>
      <c r="E305" s="19">
        <f t="shared" ca="1" si="60"/>
        <v>6.0000000000000053E-2</v>
      </c>
      <c r="F305" s="9">
        <f t="shared" ca="1" si="50"/>
        <v>1.6058175037150242E-2</v>
      </c>
      <c r="G305" s="6">
        <f t="shared" ca="1" si="51"/>
        <v>1.6057791068918619E-2</v>
      </c>
      <c r="H305" s="6">
        <f t="shared" ca="1" si="52"/>
        <v>1.4452011962026759E-2</v>
      </c>
      <c r="I305" s="9">
        <f t="shared" ca="1" si="56"/>
        <v>3.839682316229831E-7</v>
      </c>
      <c r="J305" s="6">
        <f t="shared" ca="1" si="57"/>
        <v>3.2115559099743368E-2</v>
      </c>
      <c r="K305" s="9">
        <f t="shared" ca="1" si="58"/>
        <v>3.2115943067974995E-2</v>
      </c>
      <c r="L305" s="6">
        <f t="shared" ca="1" si="59"/>
        <v>4.6567955030001752E-2</v>
      </c>
      <c r="N305" s="9"/>
      <c r="O305" s="9"/>
      <c r="P305" s="9"/>
    </row>
    <row r="306" spans="1:16" x14ac:dyDescent="0.2">
      <c r="A306">
        <f t="shared" si="49"/>
        <v>305</v>
      </c>
      <c r="B306" s="5">
        <f t="shared" ca="1" si="53"/>
        <v>305</v>
      </c>
      <c r="C306" s="6">
        <f t="shared" ca="1" si="55"/>
        <v>0.50314375922931243</v>
      </c>
      <c r="D306" s="20">
        <f t="shared" ca="1" si="54"/>
        <v>7.1762874559099243E-3</v>
      </c>
      <c r="E306" s="19">
        <f t="shared" ca="1" si="60"/>
        <v>6.0000000000000053E-2</v>
      </c>
      <c r="F306" s="9">
        <f t="shared" ca="1" si="50"/>
        <v>1.5094673706758186E-2</v>
      </c>
      <c r="G306" s="6">
        <f t="shared" ca="1" si="51"/>
        <v>1.5094312776879372E-2</v>
      </c>
      <c r="H306" s="6">
        <f t="shared" ca="1" si="52"/>
        <v>1.3584881499191435E-2</v>
      </c>
      <c r="I306" s="9">
        <f t="shared" ca="1" si="56"/>
        <v>3.6092987881417016E-7</v>
      </c>
      <c r="J306" s="6">
        <f t="shared" ca="1" si="57"/>
        <v>3.0188603897966047E-2</v>
      </c>
      <c r="K306" s="9">
        <f t="shared" ca="1" si="58"/>
        <v>3.0188964827844861E-2</v>
      </c>
      <c r="L306" s="6">
        <f t="shared" ca="1" si="59"/>
        <v>4.3773846327036292E-2</v>
      </c>
      <c r="N306" s="9"/>
      <c r="O306" s="9"/>
      <c r="P306" s="9"/>
    </row>
    <row r="307" spans="1:16" x14ac:dyDescent="0.2">
      <c r="A307">
        <f t="shared" si="49"/>
        <v>306</v>
      </c>
      <c r="B307" s="5">
        <f t="shared" ca="1" si="53"/>
        <v>306</v>
      </c>
      <c r="C307" s="6">
        <f t="shared" ca="1" si="55"/>
        <v>0.47295479440146759</v>
      </c>
      <c r="D307" s="20">
        <f t="shared" ca="1" si="54"/>
        <v>7.1762874559099243E-3</v>
      </c>
      <c r="E307" s="19">
        <f t="shared" ca="1" si="60"/>
        <v>6.0000000000000053E-2</v>
      </c>
      <c r="F307" s="9">
        <f t="shared" ca="1" si="50"/>
        <v>1.4188983105886734E-2</v>
      </c>
      <c r="G307" s="6">
        <f t="shared" ca="1" si="51"/>
        <v>1.4188643832044026E-2</v>
      </c>
      <c r="H307" s="6">
        <f t="shared" ca="1" si="52"/>
        <v>1.2769779448839625E-2</v>
      </c>
      <c r="I307" s="9">
        <f t="shared" ca="1" si="56"/>
        <v>3.3927384270743266E-7</v>
      </c>
      <c r="J307" s="6">
        <f t="shared" ca="1" si="57"/>
        <v>2.8377267307657519E-2</v>
      </c>
      <c r="K307" s="9">
        <f t="shared" ca="1" si="58"/>
        <v>2.8377606581500226E-2</v>
      </c>
      <c r="L307" s="6">
        <f t="shared" ca="1" si="59"/>
        <v>4.114738603033985E-2</v>
      </c>
      <c r="N307" s="9"/>
      <c r="O307" s="9"/>
      <c r="P307" s="9"/>
    </row>
    <row r="308" spans="1:16" x14ac:dyDescent="0.2">
      <c r="A308">
        <f t="shared" si="49"/>
        <v>307</v>
      </c>
      <c r="B308" s="5">
        <f t="shared" ca="1" si="53"/>
        <v>307</v>
      </c>
      <c r="C308" s="6">
        <f t="shared" ca="1" si="55"/>
        <v>0.44457718781996736</v>
      </c>
      <c r="D308" s="20">
        <f t="shared" ca="1" si="54"/>
        <v>7.1762874559099243E-3</v>
      </c>
      <c r="E308" s="19">
        <f t="shared" ca="1" si="60"/>
        <v>6.0000000000000053E-2</v>
      </c>
      <c r="F308" s="9">
        <f t="shared" ca="1" si="50"/>
        <v>1.3337634551782388E-2</v>
      </c>
      <c r="G308" s="6">
        <f t="shared" ca="1" si="51"/>
        <v>1.333731563459902E-2</v>
      </c>
      <c r="H308" s="6">
        <f t="shared" ca="1" si="52"/>
        <v>1.2003584071139118E-2</v>
      </c>
      <c r="I308" s="9">
        <f t="shared" ca="1" si="56"/>
        <v>3.189171833683363E-7</v>
      </c>
      <c r="J308" s="6">
        <f t="shared" ca="1" si="57"/>
        <v>2.6674612134167063E-2</v>
      </c>
      <c r="K308" s="9">
        <f t="shared" ca="1" si="58"/>
        <v>2.667493105135043E-2</v>
      </c>
      <c r="L308" s="6">
        <f t="shared" ca="1" si="59"/>
        <v>3.867851512248955E-2</v>
      </c>
      <c r="N308" s="9"/>
      <c r="O308" s="9"/>
      <c r="P308" s="9"/>
    </row>
    <row r="309" spans="1:16" x14ac:dyDescent="0.2">
      <c r="A309">
        <f t="shared" si="49"/>
        <v>308</v>
      </c>
      <c r="B309" s="5">
        <f t="shared" ca="1" si="53"/>
        <v>308</v>
      </c>
      <c r="C309" s="6">
        <f t="shared" ca="1" si="55"/>
        <v>0.41790225676861692</v>
      </c>
      <c r="D309" s="20">
        <f t="shared" ca="1" si="54"/>
        <v>7.1762874559099243E-3</v>
      </c>
      <c r="E309" s="19">
        <f t="shared" ca="1" si="60"/>
        <v>6.0000000000000053E-2</v>
      </c>
      <c r="F309" s="9">
        <f t="shared" ca="1" si="50"/>
        <v>1.2537367484995824E-2</v>
      </c>
      <c r="G309" s="6">
        <f t="shared" ca="1" si="51"/>
        <v>1.2537067703058508E-2</v>
      </c>
      <c r="H309" s="6">
        <f t="shared" ca="1" si="52"/>
        <v>1.1283360932752657E-2</v>
      </c>
      <c r="I309" s="9">
        <f t="shared" ca="1" si="56"/>
        <v>2.99781937315724E-7</v>
      </c>
      <c r="J309" s="6">
        <f t="shared" ca="1" si="57"/>
        <v>2.5074117419200799E-2</v>
      </c>
      <c r="K309" s="9">
        <f t="shared" ca="1" si="58"/>
        <v>2.5074417201138115E-2</v>
      </c>
      <c r="L309" s="6">
        <f t="shared" ca="1" si="59"/>
        <v>3.6357778133890774E-2</v>
      </c>
      <c r="N309" s="9"/>
      <c r="O309" s="9"/>
      <c r="P309" s="9"/>
    </row>
    <row r="310" spans="1:16" x14ac:dyDescent="0.2">
      <c r="A310">
        <f t="shared" si="49"/>
        <v>309</v>
      </c>
      <c r="B310" s="5">
        <f t="shared" ca="1" si="53"/>
        <v>309</v>
      </c>
      <c r="C310" s="6">
        <f t="shared" ca="1" si="55"/>
        <v>0.3928278395674788</v>
      </c>
      <c r="D310" s="20">
        <f t="shared" ca="1" si="54"/>
        <v>7.1762874559099243E-3</v>
      </c>
      <c r="E310" s="19">
        <f t="shared" ca="1" si="60"/>
        <v>6.0000000000000053E-2</v>
      </c>
      <c r="F310" s="9">
        <f t="shared" ca="1" si="50"/>
        <v>1.1785116981843296E-2</v>
      </c>
      <c r="G310" s="6">
        <f t="shared" ca="1" si="51"/>
        <v>1.1784835187024363E-2</v>
      </c>
      <c r="H310" s="6">
        <f t="shared" ca="1" si="52"/>
        <v>1.0606351668321927E-2</v>
      </c>
      <c r="I310" s="9">
        <f t="shared" ca="1" si="56"/>
        <v>2.8179481893243763E-7</v>
      </c>
      <c r="J310" s="6">
        <f t="shared" ca="1" si="57"/>
        <v>2.3569653466359614E-2</v>
      </c>
      <c r="K310" s="9">
        <f t="shared" ca="1" si="58"/>
        <v>2.3569935261178544E-2</v>
      </c>
      <c r="L310" s="6">
        <f t="shared" ca="1" si="59"/>
        <v>3.417628692950047E-2</v>
      </c>
      <c r="N310" s="9"/>
      <c r="O310" s="9"/>
      <c r="P310" s="9"/>
    </row>
    <row r="311" spans="1:16" x14ac:dyDescent="0.2">
      <c r="A311">
        <f t="shared" si="49"/>
        <v>310</v>
      </c>
      <c r="B311" s="5">
        <f t="shared" ca="1" si="53"/>
        <v>310</v>
      </c>
      <c r="C311" s="6">
        <f t="shared" ca="1" si="55"/>
        <v>0.36925790430630023</v>
      </c>
      <c r="D311" s="20">
        <f t="shared" ca="1" si="54"/>
        <v>7.1762874559099243E-3</v>
      </c>
      <c r="E311" s="19">
        <f t="shared" ca="1" si="60"/>
        <v>6.0000000000000053E-2</v>
      </c>
      <c r="F311" s="9">
        <f t="shared" ca="1" si="50"/>
        <v>1.1078002016128788E-2</v>
      </c>
      <c r="G311" s="6">
        <f t="shared" ca="1" si="51"/>
        <v>1.1077737129189007E-2</v>
      </c>
      <c r="H311" s="6">
        <f t="shared" ca="1" si="52"/>
        <v>9.969963416270107E-3</v>
      </c>
      <c r="I311" s="9">
        <f t="shared" ca="1" si="56"/>
        <v>2.6488693978012068E-7</v>
      </c>
      <c r="J311" s="6">
        <f t="shared" ca="1" si="57"/>
        <v>2.2155458365161647E-2</v>
      </c>
      <c r="K311" s="9">
        <f t="shared" ca="1" si="58"/>
        <v>2.2155723252101425E-2</v>
      </c>
      <c r="L311" s="6">
        <f t="shared" ca="1" si="59"/>
        <v>3.2125686668371532E-2</v>
      </c>
      <c r="N311" s="9"/>
      <c r="O311" s="9"/>
      <c r="P311" s="9"/>
    </row>
    <row r="312" spans="1:16" x14ac:dyDescent="0.2">
      <c r="A312">
        <f t="shared" si="49"/>
        <v>311</v>
      </c>
      <c r="B312" s="5">
        <f t="shared" ca="1" si="53"/>
        <v>311</v>
      </c>
      <c r="C312" s="6">
        <f t="shared" ca="1" si="55"/>
        <v>0.34710218105419882</v>
      </c>
      <c r="D312" s="20">
        <f t="shared" ca="1" si="54"/>
        <v>7.1762874559099243E-3</v>
      </c>
      <c r="E312" s="19">
        <f t="shared" ca="1" si="60"/>
        <v>6.0000000000000053E-2</v>
      </c>
      <c r="F312" s="9">
        <f t="shared" ca="1" si="50"/>
        <v>1.0413314425170744E-2</v>
      </c>
      <c r="G312" s="6">
        <f t="shared" ca="1" si="51"/>
        <v>1.0413065431625965E-2</v>
      </c>
      <c r="H312" s="6">
        <f t="shared" ca="1" si="52"/>
        <v>9.371758888463368E-3</v>
      </c>
      <c r="I312" s="9">
        <f t="shared" ca="1" si="56"/>
        <v>2.489935447790026E-7</v>
      </c>
      <c r="J312" s="6">
        <f t="shared" ca="1" si="57"/>
        <v>2.0826115923639262E-2</v>
      </c>
      <c r="K312" s="9">
        <f t="shared" ca="1" si="58"/>
        <v>2.0826364917184041E-2</v>
      </c>
      <c r="L312" s="6">
        <f t="shared" ca="1" si="59"/>
        <v>3.019812380564741E-2</v>
      </c>
      <c r="N312" s="9"/>
      <c r="O312" s="9"/>
      <c r="P312" s="9"/>
    </row>
    <row r="313" spans="1:16" x14ac:dyDescent="0.2">
      <c r="A313">
        <f t="shared" si="49"/>
        <v>312</v>
      </c>
      <c r="B313" s="5">
        <f t="shared" ca="1" si="53"/>
        <v>312</v>
      </c>
      <c r="C313" s="6">
        <f t="shared" ca="1" si="55"/>
        <v>0.32627581613701478</v>
      </c>
      <c r="D313" s="20">
        <f t="shared" ca="1" si="54"/>
        <v>7.1762874559099243E-3</v>
      </c>
      <c r="E313" s="19">
        <f t="shared" ca="1" si="60"/>
        <v>6.0000000000000053E-2</v>
      </c>
      <c r="F313" s="9">
        <f t="shared" ca="1" si="50"/>
        <v>9.7885085378746368E-3</v>
      </c>
      <c r="G313" s="6">
        <f t="shared" ca="1" si="51"/>
        <v>9.788274484110444E-3</v>
      </c>
      <c r="H313" s="6">
        <f t="shared" ca="1" si="52"/>
        <v>8.8094470356993998E-3</v>
      </c>
      <c r="I313" s="9">
        <f t="shared" ca="1" si="56"/>
        <v>2.340537641927487E-7</v>
      </c>
      <c r="J313" s="6">
        <f t="shared" ca="1" si="57"/>
        <v>1.9576534924995052E-2</v>
      </c>
      <c r="K313" s="9">
        <f t="shared" ca="1" si="58"/>
        <v>1.9576768978759245E-2</v>
      </c>
      <c r="L313" s="6">
        <f t="shared" ca="1" si="59"/>
        <v>2.8386216014458645E-2</v>
      </c>
      <c r="N313" s="9"/>
      <c r="O313" s="9"/>
      <c r="P313" s="9"/>
    </row>
    <row r="314" spans="1:16" x14ac:dyDescent="0.2">
      <c r="A314">
        <f t="shared" si="49"/>
        <v>313</v>
      </c>
      <c r="B314" s="5">
        <f t="shared" ca="1" si="53"/>
        <v>313</v>
      </c>
      <c r="C314" s="6">
        <f t="shared" ca="1" si="55"/>
        <v>0.30669904715825552</v>
      </c>
      <c r="D314" s="20">
        <f t="shared" ca="1" si="54"/>
        <v>7.1762874559099243E-3</v>
      </c>
      <c r="E314" s="19">
        <f t="shared" ca="1" si="60"/>
        <v>6.0000000000000053E-2</v>
      </c>
      <c r="F314" s="9">
        <f t="shared" ca="1" si="50"/>
        <v>9.2011914251281818E-3</v>
      </c>
      <c r="G314" s="6">
        <f t="shared" ca="1" si="51"/>
        <v>9.2009714147476655E-3</v>
      </c>
      <c r="H314" s="6">
        <f t="shared" ca="1" si="52"/>
        <v>8.2808742732728997E-3</v>
      </c>
      <c r="I314" s="9">
        <f t="shared" ca="1" si="56"/>
        <v>2.2001038051631949E-7</v>
      </c>
      <c r="J314" s="6">
        <f t="shared" ca="1" si="57"/>
        <v>1.8401929628872517E-2</v>
      </c>
      <c r="K314" s="9">
        <f t="shared" ca="1" si="58"/>
        <v>1.8402149639253032E-2</v>
      </c>
      <c r="L314" s="6">
        <f t="shared" ca="1" si="59"/>
        <v>2.668302391252593E-2</v>
      </c>
      <c r="N314" s="9"/>
      <c r="O314" s="9"/>
      <c r="P314" s="9"/>
    </row>
    <row r="315" spans="1:16" x14ac:dyDescent="0.2">
      <c r="A315">
        <f t="shared" si="49"/>
        <v>314</v>
      </c>
      <c r="B315" s="5">
        <f t="shared" ca="1" si="53"/>
        <v>314</v>
      </c>
      <c r="C315" s="6">
        <f t="shared" ca="1" si="55"/>
        <v>0.2882968975190025</v>
      </c>
      <c r="D315" s="20">
        <f t="shared" ca="1" si="54"/>
        <v>7.1762874559099243E-3</v>
      </c>
      <c r="E315" s="19">
        <f t="shared" ca="1" si="60"/>
        <v>6.0000000000000053E-2</v>
      </c>
      <c r="F315" s="9">
        <f t="shared" ca="1" si="50"/>
        <v>8.6491137351794051E-3</v>
      </c>
      <c r="G315" s="6">
        <f t="shared" ca="1" si="51"/>
        <v>8.6489069255700751E-3</v>
      </c>
      <c r="H315" s="6">
        <f t="shared" ca="1" si="52"/>
        <v>7.7840162330130675E-3</v>
      </c>
      <c r="I315" s="9">
        <f t="shared" ca="1" si="56"/>
        <v>2.0680960933008863E-7</v>
      </c>
      <c r="J315" s="6">
        <f t="shared" ca="1" si="57"/>
        <v>1.7297801442563605E-2</v>
      </c>
      <c r="K315" s="9">
        <f t="shared" ca="1" si="58"/>
        <v>1.7298008252172935E-2</v>
      </c>
      <c r="L315" s="6">
        <f t="shared" ca="1" si="59"/>
        <v>2.5082024485186004E-2</v>
      </c>
      <c r="N315" s="9"/>
      <c r="O315" s="9"/>
      <c r="P315" s="9"/>
    </row>
    <row r="316" spans="1:16" x14ac:dyDescent="0.2">
      <c r="A316">
        <f t="shared" si="49"/>
        <v>315</v>
      </c>
      <c r="B316" s="5">
        <f t="shared" ca="1" si="53"/>
        <v>315</v>
      </c>
      <c r="C316" s="6">
        <f t="shared" ca="1" si="55"/>
        <v>0.27099888926682958</v>
      </c>
      <c r="D316" s="20">
        <f t="shared" ca="1" si="54"/>
        <v>7.1762874559099243E-3</v>
      </c>
      <c r="E316" s="19">
        <f t="shared" ca="1" si="60"/>
        <v>6.0000000000000053E-2</v>
      </c>
      <c r="F316" s="9">
        <f t="shared" ca="1" si="50"/>
        <v>8.1301610788982043E-3</v>
      </c>
      <c r="G316" s="6">
        <f t="shared" ca="1" si="51"/>
        <v>8.1299666780048872E-3</v>
      </c>
      <c r="H316" s="6">
        <f t="shared" ca="1" si="52"/>
        <v>7.3169700102043989E-3</v>
      </c>
      <c r="I316" s="9">
        <f t="shared" ca="1" si="56"/>
        <v>1.9440089331704269E-7</v>
      </c>
      <c r="J316" s="6">
        <f t="shared" ca="1" si="57"/>
        <v>1.625992169195619E-2</v>
      </c>
      <c r="K316" s="9">
        <f t="shared" ca="1" si="58"/>
        <v>1.6260116092849507E-2</v>
      </c>
      <c r="L316" s="6">
        <f t="shared" ca="1" si="59"/>
        <v>2.3577086103053906E-2</v>
      </c>
      <c r="N316" s="9"/>
      <c r="O316" s="9"/>
      <c r="P316" s="9"/>
    </row>
    <row r="317" spans="1:16" x14ac:dyDescent="0.2">
      <c r="A317">
        <f t="shared" si="49"/>
        <v>316</v>
      </c>
      <c r="B317" s="5">
        <f t="shared" ca="1" si="53"/>
        <v>316</v>
      </c>
      <c r="C317" s="6">
        <f t="shared" ca="1" si="55"/>
        <v>0.25473877317398008</v>
      </c>
      <c r="D317" s="20">
        <f t="shared" ca="1" si="54"/>
        <v>7.1762874559099243E-3</v>
      </c>
      <c r="E317" s="19">
        <f t="shared" ca="1" si="60"/>
        <v>6.0000000000000053E-2</v>
      </c>
      <c r="F317" s="9">
        <f t="shared" ca="1" si="50"/>
        <v>7.6423459319280357E-3</v>
      </c>
      <c r="G317" s="6">
        <f t="shared" ca="1" si="51"/>
        <v>7.6421631952194018E-3</v>
      </c>
      <c r="H317" s="6">
        <f t="shared" ca="1" si="52"/>
        <v>6.8779468756974618E-3</v>
      </c>
      <c r="I317" s="9">
        <f t="shared" ca="1" si="56"/>
        <v>1.8273670863381414E-7</v>
      </c>
      <c r="J317" s="6">
        <f t="shared" ca="1" si="57"/>
        <v>1.5284315426236299E-2</v>
      </c>
      <c r="K317" s="9">
        <f t="shared" ca="1" si="58"/>
        <v>1.5284498162944932E-2</v>
      </c>
      <c r="L317" s="6">
        <f t="shared" ca="1" si="59"/>
        <v>2.2162445038642394E-2</v>
      </c>
      <c r="N317" s="9"/>
      <c r="O317" s="9"/>
      <c r="P317" s="9"/>
    </row>
    <row r="318" spans="1:16" x14ac:dyDescent="0.2">
      <c r="A318">
        <f t="shared" si="49"/>
        <v>317</v>
      </c>
      <c r="B318" s="5">
        <f t="shared" ca="1" si="53"/>
        <v>317</v>
      </c>
      <c r="C318" s="6">
        <f t="shared" ca="1" si="55"/>
        <v>0.23945427501103514</v>
      </c>
      <c r="D318" s="20">
        <f t="shared" ca="1" si="54"/>
        <v>7.1762874559099243E-3</v>
      </c>
      <c r="E318" s="19">
        <f t="shared" ca="1" si="60"/>
        <v>6.0000000000000053E-2</v>
      </c>
      <c r="F318" s="9">
        <f t="shared" ca="1" si="50"/>
        <v>7.1838000227139485E-3</v>
      </c>
      <c r="G318" s="6">
        <f t="shared" ca="1" si="51"/>
        <v>7.1836282503310537E-3</v>
      </c>
      <c r="H318" s="6">
        <f t="shared" ca="1" si="52"/>
        <v>6.4652654252979483E-3</v>
      </c>
      <c r="I318" s="9">
        <f t="shared" ca="1" si="56"/>
        <v>1.7177238289482061E-7</v>
      </c>
      <c r="J318" s="6">
        <f t="shared" ca="1" si="57"/>
        <v>1.4367246194319148E-2</v>
      </c>
      <c r="K318" s="9">
        <f t="shared" ca="1" si="58"/>
        <v>1.4367417966702042E-2</v>
      </c>
      <c r="L318" s="6">
        <f t="shared" ca="1" si="59"/>
        <v>2.0832683391999989E-2</v>
      </c>
      <c r="N318" s="9"/>
      <c r="O318" s="9"/>
      <c r="P318" s="9"/>
    </row>
    <row r="319" spans="1:16" x14ac:dyDescent="0.2">
      <c r="A319">
        <f t="shared" si="49"/>
        <v>318</v>
      </c>
      <c r="B319" s="5">
        <f t="shared" ca="1" si="53"/>
        <v>318</v>
      </c>
      <c r="C319" s="6">
        <f t="shared" ca="1" si="55"/>
        <v>0.22508685704433309</v>
      </c>
      <c r="D319" s="20">
        <f t="shared" ca="1" si="54"/>
        <v>7.1762874559099243E-3</v>
      </c>
      <c r="E319" s="19">
        <f t="shared" ca="1" si="60"/>
        <v>6.0000000000000053E-2</v>
      </c>
      <c r="F319" s="9">
        <f t="shared" ca="1" si="50"/>
        <v>6.7527671772540853E-3</v>
      </c>
      <c r="G319" s="6">
        <f t="shared" ca="1" si="51"/>
        <v>6.7526057113299924E-3</v>
      </c>
      <c r="H319" s="6">
        <f t="shared" ca="1" si="52"/>
        <v>6.0773451401969934E-3</v>
      </c>
      <c r="I319" s="9">
        <f t="shared" ca="1" si="56"/>
        <v>1.6146592409296834E-7</v>
      </c>
      <c r="J319" s="6">
        <f t="shared" ca="1" si="57"/>
        <v>1.3505201734704552E-2</v>
      </c>
      <c r="K319" s="9">
        <f t="shared" ca="1" si="58"/>
        <v>1.3505363200628645E-2</v>
      </c>
      <c r="L319" s="6">
        <f t="shared" ca="1" si="59"/>
        <v>1.9582708340825639E-2</v>
      </c>
      <c r="N319" s="9"/>
      <c r="O319" s="9"/>
      <c r="P319" s="9"/>
    </row>
    <row r="320" spans="1:16" x14ac:dyDescent="0.2">
      <c r="A320">
        <f t="shared" si="49"/>
        <v>319</v>
      </c>
      <c r="B320" s="5">
        <f t="shared" ca="1" si="53"/>
        <v>319</v>
      </c>
      <c r="C320" s="6">
        <f t="shared" ca="1" si="55"/>
        <v>0.21158149384370445</v>
      </c>
      <c r="D320" s="20">
        <f t="shared" ca="1" si="54"/>
        <v>7.1762874559099243E-3</v>
      </c>
      <c r="E320" s="19">
        <f t="shared" ca="1" si="60"/>
        <v>6.0000000000000053E-2</v>
      </c>
      <c r="F320" s="9">
        <f t="shared" ca="1" si="50"/>
        <v>6.3475965931709026E-3</v>
      </c>
      <c r="G320" s="6">
        <f t="shared" ca="1" si="51"/>
        <v>6.3474448153111335E-3</v>
      </c>
      <c r="H320" s="6">
        <f t="shared" ca="1" si="52"/>
        <v>5.7127003337800204E-3</v>
      </c>
      <c r="I320" s="9">
        <f t="shared" ca="1" si="56"/>
        <v>1.5177785976910191E-7</v>
      </c>
      <c r="J320" s="6">
        <f t="shared" ca="1" si="57"/>
        <v>1.2694880523950691E-2</v>
      </c>
      <c r="K320" s="9">
        <f t="shared" ca="1" si="58"/>
        <v>1.269503230181046E-2</v>
      </c>
      <c r="L320" s="6">
        <f t="shared" ca="1" si="59"/>
        <v>1.8407732635590479E-2</v>
      </c>
      <c r="N320" s="9"/>
      <c r="O320" s="9"/>
      <c r="P320" s="9"/>
    </row>
    <row r="321" spans="1:16" x14ac:dyDescent="0.2">
      <c r="A321">
        <f t="shared" si="49"/>
        <v>320</v>
      </c>
      <c r="B321" s="5">
        <f t="shared" ca="1" si="53"/>
        <v>320</v>
      </c>
      <c r="C321" s="6">
        <f t="shared" ca="1" si="55"/>
        <v>0.19888646154189399</v>
      </c>
      <c r="D321" s="20">
        <f t="shared" ca="1" si="54"/>
        <v>7.1762874559099243E-3</v>
      </c>
      <c r="E321" s="19">
        <f t="shared" ca="1" si="60"/>
        <v>6.0000000000000053E-2</v>
      </c>
      <c r="F321" s="9">
        <f t="shared" ca="1" si="50"/>
        <v>5.9667365173426577E-3</v>
      </c>
      <c r="G321" s="6">
        <f t="shared" ca="1" si="51"/>
        <v>5.966593846256819E-3</v>
      </c>
      <c r="H321" s="6">
        <f t="shared" ca="1" si="52"/>
        <v>5.3699344616311376E-3</v>
      </c>
      <c r="I321" s="9">
        <f t="shared" ca="1" si="56"/>
        <v>1.4267108583865956E-7</v>
      </c>
      <c r="J321" s="6">
        <f t="shared" ca="1" si="57"/>
        <v>1.1933179132248501E-2</v>
      </c>
      <c r="K321" s="9">
        <f t="shared" ca="1" si="58"/>
        <v>1.193332180333434E-2</v>
      </c>
      <c r="L321" s="6">
        <f t="shared" ca="1" si="59"/>
        <v>1.7303256264965476E-2</v>
      </c>
      <c r="N321" s="9"/>
      <c r="O321" s="9"/>
      <c r="P321" s="9"/>
    </row>
    <row r="322" spans="1:16" x14ac:dyDescent="0.2">
      <c r="A322">
        <f t="shared" ref="A322:A361" si="61">IF(ROW(A322)-1&gt;$O$4,"",ROW(A322)-1)</f>
        <v>321</v>
      </c>
      <c r="B322" s="5">
        <f t="shared" ca="1" si="53"/>
        <v>321</v>
      </c>
      <c r="C322" s="6">
        <f t="shared" ca="1" si="55"/>
        <v>0.18695313973855965</v>
      </c>
      <c r="D322" s="20">
        <f t="shared" ca="1" si="54"/>
        <v>7.1762874559099243E-3</v>
      </c>
      <c r="E322" s="19">
        <f t="shared" ca="1" si="60"/>
        <v>6.0000000000000053E-2</v>
      </c>
      <c r="F322" s="9">
        <f t="shared" ref="F322:F361" ca="1" si="62">IFERROR(-PMT($O$2, $O$4, C322, 0,0),0)</f>
        <v>5.6087283028812725E-3</v>
      </c>
      <c r="G322" s="6">
        <f t="shared" ref="G322:G361" ca="1" si="63">C322*$O$2</f>
        <v>5.6085941921567893E-3</v>
      </c>
      <c r="H322" s="6">
        <f t="shared" ref="H322:H361" ca="1" si="64">C322*$O$6</f>
        <v>5.0477347729411103E-3</v>
      </c>
      <c r="I322" s="9">
        <f t="shared" ca="1" si="56"/>
        <v>1.3411072448312605E-7</v>
      </c>
      <c r="J322" s="6">
        <f t="shared" ca="1" si="57"/>
        <v>1.1217180337670121E-2</v>
      </c>
      <c r="K322" s="9">
        <f t="shared" ca="1" si="58"/>
        <v>1.1217314448394605E-2</v>
      </c>
      <c r="L322" s="6">
        <f t="shared" ca="1" si="59"/>
        <v>1.6265049221335717E-2</v>
      </c>
      <c r="N322" s="9"/>
      <c r="O322" s="9"/>
      <c r="P322" s="9"/>
    </row>
    <row r="323" spans="1:16" x14ac:dyDescent="0.2">
      <c r="A323">
        <f t="shared" si="61"/>
        <v>322</v>
      </c>
      <c r="B323" s="5">
        <f t="shared" ref="B323:B361" ca="1" si="65">IF(ROW(B323)-1&gt;$O$5, "", OFFSET(B322, 0,0)+1)</f>
        <v>322</v>
      </c>
      <c r="C323" s="6">
        <f t="shared" ca="1" si="55"/>
        <v>0.17573582529016504</v>
      </c>
      <c r="D323" s="20">
        <f t="shared" ref="D323:D361" ca="1" si="66">1-(1-(E323/100))^12</f>
        <v>7.1762874559099243E-3</v>
      </c>
      <c r="E323" s="19">
        <f t="shared" ca="1" si="60"/>
        <v>6.0000000000000053E-2</v>
      </c>
      <c r="F323" s="9">
        <f t="shared" ca="1" si="62"/>
        <v>5.2722008226955335E-3</v>
      </c>
      <c r="G323" s="6">
        <f t="shared" ca="1" si="63"/>
        <v>5.2720747587049512E-3</v>
      </c>
      <c r="H323" s="6">
        <f t="shared" ca="1" si="64"/>
        <v>4.7448672828344562E-3</v>
      </c>
      <c r="I323" s="9">
        <f t="shared" ca="1" si="56"/>
        <v>1.2606399058239653E-7</v>
      </c>
      <c r="J323" s="6">
        <f t="shared" ca="1" si="57"/>
        <v>1.0544141953570478E-2</v>
      </c>
      <c r="K323" s="9">
        <f t="shared" ca="1" si="58"/>
        <v>1.0544268017561059E-2</v>
      </c>
      <c r="L323" s="6">
        <f t="shared" ca="1" si="59"/>
        <v>1.5289135300395516E-2</v>
      </c>
      <c r="N323" s="9"/>
      <c r="O323" s="9"/>
      <c r="P323" s="9"/>
    </row>
    <row r="324" spans="1:16" x14ac:dyDescent="0.2">
      <c r="A324">
        <f t="shared" si="61"/>
        <v>323</v>
      </c>
      <c r="B324" s="5">
        <f t="shared" ca="1" si="65"/>
        <v>323</v>
      </c>
      <c r="C324" s="6">
        <f t="shared" ref="C324:C361" ca="1" si="67">IFERROR(C323-K323,0)</f>
        <v>0.16519155727260398</v>
      </c>
      <c r="D324" s="20">
        <f t="shared" ca="1" si="66"/>
        <v>7.1762874559099243E-3</v>
      </c>
      <c r="E324" s="19">
        <f t="shared" ca="1" si="60"/>
        <v>6.0000000000000053E-2</v>
      </c>
      <c r="F324" s="9">
        <f t="shared" ca="1" si="62"/>
        <v>4.9558652182442606E-3</v>
      </c>
      <c r="G324" s="6">
        <f t="shared" ca="1" si="63"/>
        <v>4.955746718178119E-3</v>
      </c>
      <c r="H324" s="6">
        <f t="shared" ca="1" si="64"/>
        <v>4.4601720463603072E-3</v>
      </c>
      <c r="I324" s="9">
        <f t="shared" ca="1" si="56"/>
        <v>1.1850006614161357E-7</v>
      </c>
      <c r="J324" s="6">
        <f t="shared" ca="1" si="57"/>
        <v>9.9114863263522791E-3</v>
      </c>
      <c r="K324" s="9">
        <f t="shared" ca="1" si="58"/>
        <v>9.9116048264184207E-3</v>
      </c>
      <c r="L324" s="6">
        <f t="shared" ca="1" si="59"/>
        <v>1.4371776872778727E-2</v>
      </c>
      <c r="N324" s="9"/>
      <c r="O324" s="9"/>
      <c r="P324" s="9"/>
    </row>
    <row r="325" spans="1:16" x14ac:dyDescent="0.2">
      <c r="A325">
        <f t="shared" si="61"/>
        <v>324</v>
      </c>
      <c r="B325" s="5">
        <f t="shared" ca="1" si="65"/>
        <v>324</v>
      </c>
      <c r="C325" s="6">
        <f t="shared" ca="1" si="67"/>
        <v>0.15527995244618556</v>
      </c>
      <c r="D325" s="20">
        <f t="shared" ca="1" si="66"/>
        <v>7.1762874559099243E-3</v>
      </c>
      <c r="E325" s="19">
        <f t="shared" ca="1" si="60"/>
        <v>6.0000000000000053E-2</v>
      </c>
      <c r="F325" s="9">
        <f t="shared" ca="1" si="62"/>
        <v>4.6585099633678342E-3</v>
      </c>
      <c r="G325" s="6">
        <f t="shared" ca="1" si="63"/>
        <v>4.6583985733855667E-3</v>
      </c>
      <c r="H325" s="6">
        <f t="shared" ca="1" si="64"/>
        <v>4.1925587160470098E-3</v>
      </c>
      <c r="I325" s="9">
        <f t="shared" ref="I325:I361" ca="1" si="68">F325-G325</f>
        <v>1.1138998226752073E-7</v>
      </c>
      <c r="J325" s="6">
        <f t="shared" ref="J325:J361" ca="1" si="69">E325*(C325-I325)</f>
        <v>9.3167904633722053E-3</v>
      </c>
      <c r="K325" s="9">
        <f t="shared" ref="K325:K361" ca="1" si="70">(I325+J325)</f>
        <v>9.3169018533544729E-3</v>
      </c>
      <c r="L325" s="6">
        <f t="shared" ref="L325:L361" ca="1" si="71">(H325+K325)</f>
        <v>1.3509460569401482E-2</v>
      </c>
      <c r="N325" s="9"/>
      <c r="O325" s="9"/>
      <c r="P325" s="9"/>
    </row>
    <row r="326" spans="1:16" x14ac:dyDescent="0.2">
      <c r="A326">
        <f t="shared" si="61"/>
        <v>325</v>
      </c>
      <c r="B326" s="5">
        <f t="shared" ca="1" si="65"/>
        <v>325</v>
      </c>
      <c r="C326" s="6">
        <f t="shared" ca="1" si="67"/>
        <v>0.1459630505928311</v>
      </c>
      <c r="D326" s="20">
        <f t="shared" ca="1" si="66"/>
        <v>7.1762874559099243E-3</v>
      </c>
      <c r="E326" s="19">
        <f t="shared" ca="1" si="60"/>
        <v>6.0000000000000053E-2</v>
      </c>
      <c r="F326" s="9">
        <f t="shared" ca="1" si="62"/>
        <v>4.3789962242931531E-3</v>
      </c>
      <c r="G326" s="6">
        <f t="shared" ca="1" si="63"/>
        <v>4.3788915177849332E-3</v>
      </c>
      <c r="H326" s="6">
        <f t="shared" ca="1" si="64"/>
        <v>3.9410023660064394E-3</v>
      </c>
      <c r="I326" s="9">
        <f t="shared" ca="1" si="68"/>
        <v>1.0470650821988586E-7</v>
      </c>
      <c r="J326" s="6">
        <f t="shared" ca="1" si="69"/>
        <v>8.7577767531793818E-3</v>
      </c>
      <c r="K326" s="9">
        <f t="shared" ca="1" si="70"/>
        <v>8.7578814596876026E-3</v>
      </c>
      <c r="L326" s="6">
        <f t="shared" ca="1" si="71"/>
        <v>1.2698883825694042E-2</v>
      </c>
      <c r="N326" s="9"/>
      <c r="O326" s="9"/>
      <c r="P326" s="9"/>
    </row>
    <row r="327" spans="1:16" x14ac:dyDescent="0.2">
      <c r="A327">
        <f t="shared" si="61"/>
        <v>326</v>
      </c>
      <c r="B327" s="5">
        <f t="shared" ca="1" si="65"/>
        <v>326</v>
      </c>
      <c r="C327" s="6">
        <f t="shared" ca="1" si="67"/>
        <v>0.13720516913314351</v>
      </c>
      <c r="D327" s="20">
        <f t="shared" ca="1" si="66"/>
        <v>7.1762874559099243E-3</v>
      </c>
      <c r="E327" s="19">
        <f t="shared" ca="1" si="60"/>
        <v>6.0000000000000053E-2</v>
      </c>
      <c r="F327" s="9">
        <f t="shared" ca="1" si="62"/>
        <v>4.1162534980414278E-3</v>
      </c>
      <c r="G327" s="6">
        <f t="shared" ca="1" si="63"/>
        <v>4.1161550739943053E-3</v>
      </c>
      <c r="H327" s="6">
        <f t="shared" ca="1" si="64"/>
        <v>3.7045395665948749E-3</v>
      </c>
      <c r="I327" s="9">
        <f t="shared" ca="1" si="68"/>
        <v>9.8424047122527836E-8</v>
      </c>
      <c r="J327" s="6">
        <f t="shared" ca="1" si="69"/>
        <v>8.2323042425457901E-3</v>
      </c>
      <c r="K327" s="9">
        <f t="shared" ca="1" si="70"/>
        <v>8.2324026665929126E-3</v>
      </c>
      <c r="L327" s="6">
        <f t="shared" ca="1" si="71"/>
        <v>1.1936942233187788E-2</v>
      </c>
      <c r="N327" s="9"/>
      <c r="O327" s="9"/>
      <c r="P327" s="9"/>
    </row>
    <row r="328" spans="1:16" x14ac:dyDescent="0.2">
      <c r="A328">
        <f t="shared" si="61"/>
        <v>327</v>
      </c>
      <c r="B328" s="5">
        <f t="shared" ca="1" si="65"/>
        <v>327</v>
      </c>
      <c r="C328" s="6">
        <f t="shared" ca="1" si="67"/>
        <v>0.12897276646655059</v>
      </c>
      <c r="D328" s="20">
        <f t="shared" ca="1" si="66"/>
        <v>7.1762874559099243E-3</v>
      </c>
      <c r="E328" s="19">
        <f t="shared" ca="1" si="60"/>
        <v>6.0000000000000053E-2</v>
      </c>
      <c r="F328" s="9">
        <f t="shared" ca="1" si="62"/>
        <v>3.8692755125344443E-3</v>
      </c>
      <c r="G328" s="6">
        <f t="shared" ca="1" si="63"/>
        <v>3.8691829939965176E-3</v>
      </c>
      <c r="H328" s="6">
        <f t="shared" ca="1" si="64"/>
        <v>3.4822646945968658E-3</v>
      </c>
      <c r="I328" s="9">
        <f t="shared" ca="1" si="68"/>
        <v>9.2518537926720296E-8</v>
      </c>
      <c r="J328" s="6">
        <f t="shared" ca="1" si="69"/>
        <v>7.7383604368807674E-3</v>
      </c>
      <c r="K328" s="9">
        <f t="shared" ca="1" si="70"/>
        <v>7.7384529554186936E-3</v>
      </c>
      <c r="L328" s="6">
        <f t="shared" ca="1" si="71"/>
        <v>1.122071765001556E-2</v>
      </c>
      <c r="N328" s="9"/>
      <c r="O328" s="9"/>
      <c r="P328" s="9"/>
    </row>
    <row r="329" spans="1:16" x14ac:dyDescent="0.2">
      <c r="A329">
        <f t="shared" si="61"/>
        <v>328</v>
      </c>
      <c r="B329" s="5">
        <f t="shared" ca="1" si="65"/>
        <v>328</v>
      </c>
      <c r="C329" s="6">
        <f t="shared" ca="1" si="67"/>
        <v>0.1212343135111319</v>
      </c>
      <c r="D329" s="20">
        <f t="shared" ca="1" si="66"/>
        <v>7.1762874559099243E-3</v>
      </c>
      <c r="E329" s="19">
        <f t="shared" ca="1" si="60"/>
        <v>6.0000000000000053E-2</v>
      </c>
      <c r="F329" s="9">
        <f t="shared" ca="1" si="62"/>
        <v>3.6371163726972222E-3</v>
      </c>
      <c r="G329" s="6">
        <f t="shared" ca="1" si="63"/>
        <v>3.6370294053339569E-3</v>
      </c>
      <c r="H329" s="6">
        <f t="shared" ca="1" si="64"/>
        <v>3.2733264648005613E-3</v>
      </c>
      <c r="I329" s="9">
        <f t="shared" ca="1" si="68"/>
        <v>8.6967363265282732E-8</v>
      </c>
      <c r="J329" s="6">
        <f t="shared" ca="1" si="69"/>
        <v>7.2740535926261243E-3</v>
      </c>
      <c r="K329" s="9">
        <f t="shared" ca="1" si="70"/>
        <v>7.27414055998939E-3</v>
      </c>
      <c r="L329" s="6">
        <f t="shared" ca="1" si="71"/>
        <v>1.0547467024789951E-2</v>
      </c>
      <c r="N329" s="9"/>
      <c r="O329" s="9"/>
      <c r="P329" s="9"/>
    </row>
    <row r="330" spans="1:16" x14ac:dyDescent="0.2">
      <c r="A330">
        <f t="shared" si="61"/>
        <v>329</v>
      </c>
      <c r="B330" s="5">
        <f t="shared" ca="1" si="65"/>
        <v>329</v>
      </c>
      <c r="C330" s="6">
        <f t="shared" ca="1" si="67"/>
        <v>0.11396017295114251</v>
      </c>
      <c r="D330" s="20">
        <f t="shared" ca="1" si="66"/>
        <v>7.1762874559099243E-3</v>
      </c>
      <c r="E330" s="19">
        <f t="shared" ca="1" si="60"/>
        <v>6.0000000000000053E-2</v>
      </c>
      <c r="F330" s="9">
        <f t="shared" ca="1" si="62"/>
        <v>3.418886937797102E-3</v>
      </c>
      <c r="G330" s="6">
        <f t="shared" ca="1" si="63"/>
        <v>3.418805188534275E-3</v>
      </c>
      <c r="H330" s="6">
        <f t="shared" ca="1" si="64"/>
        <v>3.0769246696808476E-3</v>
      </c>
      <c r="I330" s="9">
        <f t="shared" ca="1" si="68"/>
        <v>8.1749262826995295E-8</v>
      </c>
      <c r="J330" s="6">
        <f t="shared" ca="1" si="69"/>
        <v>6.8376054721127864E-3</v>
      </c>
      <c r="K330" s="9">
        <f t="shared" ca="1" si="70"/>
        <v>6.8376872213756134E-3</v>
      </c>
      <c r="L330" s="6">
        <f t="shared" ca="1" si="71"/>
        <v>9.9146118910564615E-3</v>
      </c>
      <c r="N330" s="9"/>
      <c r="O330" s="9"/>
      <c r="P330" s="9"/>
    </row>
    <row r="331" spans="1:16" x14ac:dyDescent="0.2">
      <c r="A331">
        <f t="shared" si="61"/>
        <v>330</v>
      </c>
      <c r="B331" s="5">
        <f t="shared" ca="1" si="65"/>
        <v>330</v>
      </c>
      <c r="C331" s="6">
        <f t="shared" ca="1" si="67"/>
        <v>0.1071224857297669</v>
      </c>
      <c r="D331" s="20">
        <f t="shared" ca="1" si="66"/>
        <v>7.1762874559099243E-3</v>
      </c>
      <c r="E331" s="19">
        <f t="shared" ca="1" si="60"/>
        <v>6.0000000000000053E-2</v>
      </c>
      <c r="F331" s="9">
        <f t="shared" ca="1" si="62"/>
        <v>3.2137514161449401E-3</v>
      </c>
      <c r="G331" s="6">
        <f t="shared" ca="1" si="63"/>
        <v>3.213674571893007E-3</v>
      </c>
      <c r="H331" s="6">
        <f t="shared" ca="1" si="64"/>
        <v>2.8923071147037064E-3</v>
      </c>
      <c r="I331" s="9">
        <f t="shared" ca="1" si="68"/>
        <v>7.6844251933015639E-8</v>
      </c>
      <c r="J331" s="6">
        <f t="shared" ca="1" si="69"/>
        <v>6.4273445331309038E-3</v>
      </c>
      <c r="K331" s="9">
        <f t="shared" ca="1" si="70"/>
        <v>6.4274213773828368E-3</v>
      </c>
      <c r="L331" s="6">
        <f t="shared" ca="1" si="71"/>
        <v>9.3197284920865427E-3</v>
      </c>
      <c r="N331" s="9"/>
      <c r="O331" s="9"/>
      <c r="P331" s="9"/>
    </row>
    <row r="332" spans="1:16" x14ac:dyDescent="0.2">
      <c r="A332">
        <f t="shared" si="61"/>
        <v>331</v>
      </c>
      <c r="B332" s="5">
        <f t="shared" ca="1" si="65"/>
        <v>331</v>
      </c>
      <c r="C332" s="6">
        <f t="shared" ca="1" si="67"/>
        <v>0.10069506435238407</v>
      </c>
      <c r="D332" s="20">
        <f t="shared" ca="1" si="66"/>
        <v>7.1762874559099243E-3</v>
      </c>
      <c r="E332" s="19">
        <f t="shared" ca="1" si="60"/>
        <v>6.0000000000000053E-2</v>
      </c>
      <c r="F332" s="9">
        <f t="shared" ca="1" si="62"/>
        <v>3.0209241641165219E-3</v>
      </c>
      <c r="G332" s="6">
        <f t="shared" ca="1" si="63"/>
        <v>3.0208519305715219E-3</v>
      </c>
      <c r="H332" s="6">
        <f t="shared" ca="1" si="64"/>
        <v>2.71876673751437E-3</v>
      </c>
      <c r="I332" s="9">
        <f t="shared" ca="1" si="68"/>
        <v>7.2233545000011806E-8</v>
      </c>
      <c r="J332" s="6">
        <f t="shared" ca="1" si="69"/>
        <v>6.0416995271303491E-3</v>
      </c>
      <c r="K332" s="9">
        <f t="shared" ca="1" si="70"/>
        <v>6.0417717606753487E-3</v>
      </c>
      <c r="L332" s="6">
        <f t="shared" ca="1" si="71"/>
        <v>8.7605384981897187E-3</v>
      </c>
      <c r="N332" s="9"/>
      <c r="O332" s="9"/>
      <c r="P332" s="9"/>
    </row>
    <row r="333" spans="1:16" x14ac:dyDescent="0.2">
      <c r="A333">
        <f t="shared" si="61"/>
        <v>332</v>
      </c>
      <c r="B333" s="5">
        <f t="shared" ca="1" si="65"/>
        <v>332</v>
      </c>
      <c r="C333" s="6">
        <f t="shared" ca="1" si="67"/>
        <v>9.4653292591708724E-2</v>
      </c>
      <c r="D333" s="20">
        <f t="shared" ca="1" si="66"/>
        <v>7.1762874559099243E-3</v>
      </c>
      <c r="E333" s="19">
        <f t="shared" ca="1" si="60"/>
        <v>6.0000000000000053E-2</v>
      </c>
      <c r="F333" s="9">
        <f t="shared" ca="1" si="62"/>
        <v>2.8396666772348539E-3</v>
      </c>
      <c r="G333" s="6">
        <f t="shared" ca="1" si="63"/>
        <v>2.8395987777512614E-3</v>
      </c>
      <c r="H333" s="6">
        <f t="shared" ca="1" si="64"/>
        <v>2.5556388999761355E-3</v>
      </c>
      <c r="I333" s="9">
        <f t="shared" ca="1" si="68"/>
        <v>6.7899483592506055E-8</v>
      </c>
      <c r="J333" s="6">
        <f t="shared" ca="1" si="69"/>
        <v>5.6791934815335126E-3</v>
      </c>
      <c r="K333" s="9">
        <f t="shared" ca="1" si="70"/>
        <v>5.6792613810171047E-3</v>
      </c>
      <c r="L333" s="6">
        <f t="shared" ca="1" si="71"/>
        <v>8.2349002809932407E-3</v>
      </c>
      <c r="N333" s="9"/>
      <c r="O333" s="9"/>
      <c r="P333" s="9"/>
    </row>
    <row r="334" spans="1:16" x14ac:dyDescent="0.2">
      <c r="A334">
        <f t="shared" si="61"/>
        <v>333</v>
      </c>
      <c r="B334" s="5">
        <f t="shared" ca="1" si="65"/>
        <v>333</v>
      </c>
      <c r="C334" s="6">
        <f t="shared" ca="1" si="67"/>
        <v>8.8974031210691612E-2</v>
      </c>
      <c r="D334" s="20">
        <f t="shared" ca="1" si="66"/>
        <v>7.1762874559099243E-3</v>
      </c>
      <c r="E334" s="19">
        <f t="shared" ca="1" si="60"/>
        <v>6.0000000000000053E-2</v>
      </c>
      <c r="F334" s="9">
        <f t="shared" ca="1" si="62"/>
        <v>2.6692847617895399E-3</v>
      </c>
      <c r="G334" s="6">
        <f t="shared" ca="1" si="63"/>
        <v>2.6692209363207483E-3</v>
      </c>
      <c r="H334" s="6">
        <f t="shared" ca="1" si="64"/>
        <v>2.4022988426886734E-3</v>
      </c>
      <c r="I334" s="9">
        <f t="shared" ca="1" si="68"/>
        <v>6.3825468791644385E-8</v>
      </c>
      <c r="J334" s="6">
        <f t="shared" ca="1" si="69"/>
        <v>5.338438043113374E-3</v>
      </c>
      <c r="K334" s="9">
        <f t="shared" ca="1" si="70"/>
        <v>5.3385018685821652E-3</v>
      </c>
      <c r="L334" s="6">
        <f t="shared" ca="1" si="71"/>
        <v>7.7408007112708382E-3</v>
      </c>
      <c r="N334" s="9"/>
      <c r="O334" s="9"/>
      <c r="P334" s="9"/>
    </row>
    <row r="335" spans="1:16" x14ac:dyDescent="0.2">
      <c r="A335">
        <f t="shared" si="61"/>
        <v>334</v>
      </c>
      <c r="B335" s="5">
        <f t="shared" ca="1" si="65"/>
        <v>334</v>
      </c>
      <c r="C335" s="6">
        <f t="shared" ca="1" si="67"/>
        <v>8.3635529342109452E-2</v>
      </c>
      <c r="D335" s="20">
        <f t="shared" ca="1" si="66"/>
        <v>7.1762874559099243E-3</v>
      </c>
      <c r="E335" s="19">
        <f t="shared" ca="1" si="60"/>
        <v>6.0000000000000053E-2</v>
      </c>
      <c r="F335" s="9">
        <f t="shared" ca="1" si="62"/>
        <v>2.5091258761609095E-3</v>
      </c>
      <c r="G335" s="6">
        <f t="shared" ca="1" si="63"/>
        <v>2.5090658802632833E-3</v>
      </c>
      <c r="H335" s="6">
        <f t="shared" ca="1" si="64"/>
        <v>2.2581592922369552E-3</v>
      </c>
      <c r="I335" s="9">
        <f t="shared" ca="1" si="68"/>
        <v>5.9995897626254763E-8</v>
      </c>
      <c r="J335" s="6">
        <f t="shared" ca="1" si="69"/>
        <v>5.0181281607727139E-3</v>
      </c>
      <c r="K335" s="9">
        <f t="shared" ca="1" si="70"/>
        <v>5.0181881566703397E-3</v>
      </c>
      <c r="L335" s="6">
        <f t="shared" ca="1" si="71"/>
        <v>7.2763474489072949E-3</v>
      </c>
      <c r="N335" s="9"/>
      <c r="O335" s="9"/>
      <c r="P335" s="9"/>
    </row>
    <row r="336" spans="1:16" x14ac:dyDescent="0.2">
      <c r="A336">
        <f t="shared" si="61"/>
        <v>335</v>
      </c>
      <c r="B336" s="5">
        <f t="shared" ca="1" si="65"/>
        <v>335</v>
      </c>
      <c r="C336" s="6">
        <f t="shared" ca="1" si="67"/>
        <v>7.8617341185439116E-2</v>
      </c>
      <c r="D336" s="20">
        <f t="shared" ca="1" si="66"/>
        <v>7.1762874559099243E-3</v>
      </c>
      <c r="E336" s="19">
        <f t="shared" ca="1" si="60"/>
        <v>6.0000000000000053E-2</v>
      </c>
      <c r="F336" s="9">
        <f t="shared" ca="1" si="62"/>
        <v>2.3585766316664863E-3</v>
      </c>
      <c r="G336" s="6">
        <f t="shared" ca="1" si="63"/>
        <v>2.3585202355631734E-3</v>
      </c>
      <c r="H336" s="6">
        <f t="shared" ca="1" si="64"/>
        <v>2.1226682120068559E-3</v>
      </c>
      <c r="I336" s="9">
        <f t="shared" ca="1" si="68"/>
        <v>5.6396103312924412E-8</v>
      </c>
      <c r="J336" s="6">
        <f t="shared" ca="1" si="69"/>
        <v>4.7170370873601524E-3</v>
      </c>
      <c r="K336" s="9">
        <f t="shared" ca="1" si="70"/>
        <v>4.7170934834634658E-3</v>
      </c>
      <c r="L336" s="6">
        <f t="shared" ca="1" si="71"/>
        <v>6.8397616954703217E-3</v>
      </c>
      <c r="N336" s="9"/>
      <c r="O336" s="9"/>
      <c r="P336" s="9"/>
    </row>
    <row r="337" spans="1:16" x14ac:dyDescent="0.2">
      <c r="A337">
        <f t="shared" si="61"/>
        <v>336</v>
      </c>
      <c r="B337" s="5">
        <f t="shared" ca="1" si="65"/>
        <v>336</v>
      </c>
      <c r="C337" s="6">
        <f t="shared" ca="1" si="67"/>
        <v>7.3900247701975647E-2</v>
      </c>
      <c r="D337" s="20">
        <f t="shared" ca="1" si="66"/>
        <v>7.1762874559099243E-3</v>
      </c>
      <c r="E337" s="19">
        <f t="shared" ca="1" si="60"/>
        <v>6.0000000000000053E-2</v>
      </c>
      <c r="F337" s="9">
        <f t="shared" ca="1" si="62"/>
        <v>2.2170604433583547E-3</v>
      </c>
      <c r="G337" s="6">
        <f t="shared" ca="1" si="63"/>
        <v>2.2170074310592694E-3</v>
      </c>
      <c r="H337" s="6">
        <f t="shared" ca="1" si="64"/>
        <v>1.9953066879533424E-3</v>
      </c>
      <c r="I337" s="9">
        <f t="shared" ca="1" si="68"/>
        <v>5.3012299085219983E-8</v>
      </c>
      <c r="J337" s="6">
        <f t="shared" ca="1" si="69"/>
        <v>4.4340116813805976E-3</v>
      </c>
      <c r="K337" s="9">
        <f t="shared" ca="1" si="70"/>
        <v>4.4340646936796829E-3</v>
      </c>
      <c r="L337" s="6">
        <f t="shared" ca="1" si="71"/>
        <v>6.4293713816330252E-3</v>
      </c>
      <c r="N337" s="9"/>
      <c r="O337" s="9"/>
      <c r="P337" s="9"/>
    </row>
    <row r="338" spans="1:16" x14ac:dyDescent="0.2">
      <c r="A338">
        <f t="shared" si="61"/>
        <v>337</v>
      </c>
      <c r="B338" s="5">
        <f t="shared" ca="1" si="65"/>
        <v>337</v>
      </c>
      <c r="C338" s="6">
        <f t="shared" ca="1" si="67"/>
        <v>6.9466183008295962E-2</v>
      </c>
      <c r="D338" s="20">
        <f t="shared" ca="1" si="66"/>
        <v>7.1762874559099243E-3</v>
      </c>
      <c r="E338" s="19">
        <f t="shared" ca="1" si="60"/>
        <v>6.0000000000000053E-2</v>
      </c>
      <c r="F338" s="9">
        <f t="shared" ca="1" si="62"/>
        <v>2.0840353217742727E-3</v>
      </c>
      <c r="G338" s="6">
        <f t="shared" ca="1" si="63"/>
        <v>2.0839854902488788E-3</v>
      </c>
      <c r="H338" s="6">
        <f t="shared" ca="1" si="64"/>
        <v>1.8755869412239909E-3</v>
      </c>
      <c r="I338" s="9">
        <f t="shared" ca="1" si="68"/>
        <v>4.9831525393909115E-8</v>
      </c>
      <c r="J338" s="6">
        <f t="shared" ca="1" si="69"/>
        <v>4.1679679906062375E-3</v>
      </c>
      <c r="K338" s="9">
        <f t="shared" ca="1" si="70"/>
        <v>4.1680178221316314E-3</v>
      </c>
      <c r="L338" s="6">
        <f t="shared" ca="1" si="71"/>
        <v>6.0436047633556228E-3</v>
      </c>
      <c r="N338" s="9"/>
      <c r="O338" s="9"/>
      <c r="P338" s="9"/>
    </row>
    <row r="339" spans="1:16" x14ac:dyDescent="0.2">
      <c r="A339">
        <f t="shared" si="61"/>
        <v>338</v>
      </c>
      <c r="B339" s="5">
        <f t="shared" ca="1" si="65"/>
        <v>338</v>
      </c>
      <c r="C339" s="6">
        <f t="shared" ca="1" si="67"/>
        <v>6.5298165186164325E-2</v>
      </c>
      <c r="D339" s="20">
        <f t="shared" ca="1" si="66"/>
        <v>7.1762874559099243E-3</v>
      </c>
      <c r="E339" s="19">
        <f t="shared" ca="1" si="60"/>
        <v>6.0000000000000053E-2</v>
      </c>
      <c r="F339" s="9">
        <f t="shared" ca="1" si="62"/>
        <v>1.9589917971851983E-3</v>
      </c>
      <c r="G339" s="6">
        <f t="shared" ca="1" si="63"/>
        <v>1.9589449555849296E-3</v>
      </c>
      <c r="H339" s="6">
        <f t="shared" ca="1" si="64"/>
        <v>1.7630504600264368E-3</v>
      </c>
      <c r="I339" s="9">
        <f t="shared" ca="1" si="68"/>
        <v>4.6841600268715533E-8</v>
      </c>
      <c r="J339" s="6">
        <f t="shared" ca="1" si="69"/>
        <v>3.917887100673847E-3</v>
      </c>
      <c r="K339" s="9">
        <f t="shared" ca="1" si="70"/>
        <v>3.9179339422741157E-3</v>
      </c>
      <c r="L339" s="6">
        <f t="shared" ca="1" si="71"/>
        <v>5.6809844023005523E-3</v>
      </c>
      <c r="N339" s="9"/>
      <c r="O339" s="9"/>
      <c r="P339" s="9"/>
    </row>
    <row r="340" spans="1:16" x14ac:dyDescent="0.2">
      <c r="A340">
        <f t="shared" si="61"/>
        <v>339</v>
      </c>
      <c r="B340" s="5">
        <f t="shared" ca="1" si="65"/>
        <v>339</v>
      </c>
      <c r="C340" s="6">
        <f t="shared" ca="1" si="67"/>
        <v>6.1380231243890207E-2</v>
      </c>
      <c r="D340" s="20">
        <f t="shared" ca="1" si="66"/>
        <v>7.1762874559099243E-3</v>
      </c>
      <c r="E340" s="19">
        <f t="shared" ca="1" si="60"/>
        <v>6.0000000000000053E-2</v>
      </c>
      <c r="F340" s="9">
        <f t="shared" ca="1" si="62"/>
        <v>1.8414509683893727E-3</v>
      </c>
      <c r="G340" s="6">
        <f t="shared" ca="1" si="63"/>
        <v>1.8414069373167061E-3</v>
      </c>
      <c r="H340" s="6">
        <f t="shared" ca="1" si="64"/>
        <v>1.6572662435850355E-3</v>
      </c>
      <c r="I340" s="9">
        <f t="shared" ca="1" si="68"/>
        <v>4.4031072666617446E-8</v>
      </c>
      <c r="J340" s="6">
        <f t="shared" ca="1" si="69"/>
        <v>3.6828112327690556E-3</v>
      </c>
      <c r="K340" s="9">
        <f t="shared" ca="1" si="70"/>
        <v>3.6828552638417224E-3</v>
      </c>
      <c r="L340" s="6">
        <f t="shared" ca="1" si="71"/>
        <v>5.3401215074267584E-3</v>
      </c>
      <c r="N340" s="9"/>
      <c r="O340" s="9"/>
      <c r="P340" s="9"/>
    </row>
    <row r="341" spans="1:16" x14ac:dyDescent="0.2">
      <c r="A341">
        <f t="shared" si="61"/>
        <v>340</v>
      </c>
      <c r="B341" s="5">
        <f t="shared" ca="1" si="65"/>
        <v>340</v>
      </c>
      <c r="C341" s="6">
        <f t="shared" ca="1" si="67"/>
        <v>5.7697375980048482E-2</v>
      </c>
      <c r="D341" s="20">
        <f t="shared" ca="1" si="66"/>
        <v>7.1762874559099243E-3</v>
      </c>
      <c r="E341" s="19">
        <f t="shared" ca="1" si="60"/>
        <v>6.0000000000000053E-2</v>
      </c>
      <c r="F341" s="9">
        <f t="shared" ca="1" si="62"/>
        <v>1.7309626685800704E-3</v>
      </c>
      <c r="G341" s="6">
        <f t="shared" ca="1" si="63"/>
        <v>1.7309212794014543E-3</v>
      </c>
      <c r="H341" s="6">
        <f t="shared" ca="1" si="64"/>
        <v>1.5578291514613089E-3</v>
      </c>
      <c r="I341" s="9">
        <f t="shared" ca="1" si="68"/>
        <v>4.1389178616086514E-8</v>
      </c>
      <c r="J341" s="6">
        <f t="shared" ca="1" si="69"/>
        <v>3.4618400754521947E-3</v>
      </c>
      <c r="K341" s="9">
        <f t="shared" ca="1" si="70"/>
        <v>3.4618814646308108E-3</v>
      </c>
      <c r="L341" s="6">
        <f t="shared" ca="1" si="71"/>
        <v>5.0197106160921202E-3</v>
      </c>
      <c r="N341" s="9"/>
      <c r="O341" s="9"/>
      <c r="P341" s="9"/>
    </row>
    <row r="342" spans="1:16" x14ac:dyDescent="0.2">
      <c r="A342">
        <f t="shared" si="61"/>
        <v>341</v>
      </c>
      <c r="B342" s="5">
        <f t="shared" ca="1" si="65"/>
        <v>341</v>
      </c>
      <c r="C342" s="6">
        <f t="shared" ca="1" si="67"/>
        <v>5.4235494515417669E-2</v>
      </c>
      <c r="D342" s="20">
        <f t="shared" ca="1" si="66"/>
        <v>7.1762874559099243E-3</v>
      </c>
      <c r="E342" s="19">
        <f t="shared" ca="1" si="60"/>
        <v>6.0000000000000053E-2</v>
      </c>
      <c r="F342" s="9">
        <f t="shared" ca="1" si="62"/>
        <v>1.6271037412625201E-3</v>
      </c>
      <c r="G342" s="6">
        <f t="shared" ca="1" si="63"/>
        <v>1.62706483546253E-3</v>
      </c>
      <c r="H342" s="6">
        <f t="shared" ca="1" si="64"/>
        <v>1.464358351916277E-3</v>
      </c>
      <c r="I342" s="9">
        <f t="shared" ca="1" si="68"/>
        <v>3.8905799990083395E-8</v>
      </c>
      <c r="J342" s="6">
        <f t="shared" ca="1" si="69"/>
        <v>3.2541273365770634E-3</v>
      </c>
      <c r="K342" s="9">
        <f t="shared" ca="1" si="70"/>
        <v>3.2541662423770535E-3</v>
      </c>
      <c r="L342" s="6">
        <f t="shared" ca="1" si="71"/>
        <v>4.7185245942933307E-3</v>
      </c>
      <c r="N342" s="9"/>
      <c r="O342" s="9"/>
      <c r="P342" s="9"/>
    </row>
    <row r="343" spans="1:16" x14ac:dyDescent="0.2">
      <c r="A343">
        <f t="shared" si="61"/>
        <v>342</v>
      </c>
      <c r="B343" s="5">
        <f t="shared" ca="1" si="65"/>
        <v>342</v>
      </c>
      <c r="C343" s="6">
        <f t="shared" ca="1" si="67"/>
        <v>5.0981328273040617E-2</v>
      </c>
      <c r="D343" s="20">
        <f t="shared" ca="1" si="66"/>
        <v>7.1762874559099243E-3</v>
      </c>
      <c r="E343" s="19">
        <f t="shared" ca="1" si="60"/>
        <v>6.0000000000000053E-2</v>
      </c>
      <c r="F343" s="9">
        <f t="shared" ca="1" si="62"/>
        <v>1.5294764196169745E-3</v>
      </c>
      <c r="G343" s="6">
        <f t="shared" ca="1" si="63"/>
        <v>1.5294398481912185E-3</v>
      </c>
      <c r="H343" s="6">
        <f t="shared" ca="1" si="64"/>
        <v>1.3764958633720966E-3</v>
      </c>
      <c r="I343" s="9">
        <f t="shared" ca="1" si="68"/>
        <v>3.6571425756021583E-8</v>
      </c>
      <c r="J343" s="6">
        <f t="shared" ca="1" si="69"/>
        <v>3.0588775020968942E-3</v>
      </c>
      <c r="K343" s="9">
        <f t="shared" ca="1" si="70"/>
        <v>3.05891407352265E-3</v>
      </c>
      <c r="L343" s="6">
        <f t="shared" ca="1" si="71"/>
        <v>4.4354099368947471E-3</v>
      </c>
      <c r="N343" s="9"/>
      <c r="O343" s="9"/>
      <c r="P343" s="9"/>
    </row>
    <row r="344" spans="1:16" x14ac:dyDescent="0.2">
      <c r="A344">
        <f t="shared" si="61"/>
        <v>343</v>
      </c>
      <c r="B344" s="5">
        <f t="shared" ca="1" si="65"/>
        <v>343</v>
      </c>
      <c r="C344" s="6">
        <f t="shared" ca="1" si="67"/>
        <v>4.7922414199517968E-2</v>
      </c>
      <c r="D344" s="20">
        <f t="shared" ca="1" si="66"/>
        <v>7.1762874559099243E-3</v>
      </c>
      <c r="E344" s="19">
        <f t="shared" ca="1" si="60"/>
        <v>6.0000000000000053E-2</v>
      </c>
      <c r="F344" s="9">
        <f t="shared" ca="1" si="62"/>
        <v>1.4377068031010893E-3</v>
      </c>
      <c r="G344" s="6">
        <f t="shared" ca="1" si="63"/>
        <v>1.437672425985539E-3</v>
      </c>
      <c r="H344" s="6">
        <f t="shared" ca="1" si="64"/>
        <v>1.2939051833869852E-3</v>
      </c>
      <c r="I344" s="9">
        <f t="shared" ca="1" si="68"/>
        <v>3.4377115550260698E-8</v>
      </c>
      <c r="J344" s="6">
        <f t="shared" ca="1" si="69"/>
        <v>2.8753427893441477E-3</v>
      </c>
      <c r="K344" s="9">
        <f t="shared" ca="1" si="70"/>
        <v>2.8753771664596977E-3</v>
      </c>
      <c r="L344" s="6">
        <f t="shared" ca="1" si="71"/>
        <v>4.1692823498466827E-3</v>
      </c>
      <c r="N344" s="9"/>
      <c r="O344" s="9"/>
      <c r="P344" s="9"/>
    </row>
    <row r="345" spans="1:16" x14ac:dyDescent="0.2">
      <c r="A345">
        <f t="shared" si="61"/>
        <v>344</v>
      </c>
      <c r="B345" s="5">
        <f t="shared" ca="1" si="65"/>
        <v>344</v>
      </c>
      <c r="C345" s="6">
        <f t="shared" ca="1" si="67"/>
        <v>4.504703703305827E-2</v>
      </c>
      <c r="D345" s="20">
        <f t="shared" ca="1" si="66"/>
        <v>7.1762874559099243E-3</v>
      </c>
      <c r="E345" s="19">
        <f t="shared" ca="1" si="60"/>
        <v>6.0000000000000053E-2</v>
      </c>
      <c r="F345" s="9">
        <f t="shared" ca="1" si="62"/>
        <v>1.3514434254571846E-3</v>
      </c>
      <c r="G345" s="6">
        <f t="shared" ca="1" si="63"/>
        <v>1.351411110991748E-3</v>
      </c>
      <c r="H345" s="6">
        <f t="shared" ca="1" si="64"/>
        <v>1.2162699998925733E-3</v>
      </c>
      <c r="I345" s="9">
        <f t="shared" ca="1" si="68"/>
        <v>3.2314465436616632E-8</v>
      </c>
      <c r="J345" s="6">
        <f t="shared" ca="1" si="69"/>
        <v>2.7028202831155725E-3</v>
      </c>
      <c r="K345" s="9">
        <f t="shared" ca="1" si="70"/>
        <v>2.7028525975810094E-3</v>
      </c>
      <c r="L345" s="6">
        <f t="shared" ca="1" si="71"/>
        <v>3.9191225974735825E-3</v>
      </c>
      <c r="N345" s="9"/>
      <c r="O345" s="9"/>
      <c r="P345" s="9"/>
    </row>
    <row r="346" spans="1:16" x14ac:dyDescent="0.2">
      <c r="A346">
        <f t="shared" si="61"/>
        <v>345</v>
      </c>
      <c r="B346" s="5">
        <f t="shared" ca="1" si="65"/>
        <v>345</v>
      </c>
      <c r="C346" s="6">
        <f t="shared" ca="1" si="67"/>
        <v>4.2344184435477258E-2</v>
      </c>
      <c r="D346" s="20">
        <f t="shared" ca="1" si="66"/>
        <v>7.1762874559099243E-3</v>
      </c>
      <c r="E346" s="19">
        <f t="shared" ca="1" si="60"/>
        <v>6.0000000000000053E-2</v>
      </c>
      <c r="F346" s="9">
        <f t="shared" ca="1" si="62"/>
        <v>1.2703559086400381E-3</v>
      </c>
      <c r="G346" s="6">
        <f t="shared" ca="1" si="63"/>
        <v>1.2703255330643176E-3</v>
      </c>
      <c r="H346" s="6">
        <f t="shared" ca="1" si="64"/>
        <v>1.1432929797578859E-3</v>
      </c>
      <c r="I346" s="9">
        <f t="shared" ca="1" si="68"/>
        <v>3.0375575720519021E-8</v>
      </c>
      <c r="J346" s="6">
        <f t="shared" ca="1" si="69"/>
        <v>2.5406492435940944E-3</v>
      </c>
      <c r="K346" s="9">
        <f t="shared" ca="1" si="70"/>
        <v>2.5406796191698149E-3</v>
      </c>
      <c r="L346" s="6">
        <f t="shared" ca="1" si="71"/>
        <v>3.6839725989277006E-3</v>
      </c>
      <c r="N346" s="9"/>
      <c r="O346" s="9"/>
      <c r="P346" s="9"/>
    </row>
    <row r="347" spans="1:16" x14ac:dyDescent="0.2">
      <c r="A347">
        <f t="shared" si="61"/>
        <v>346</v>
      </c>
      <c r="B347" s="5">
        <f t="shared" ca="1" si="65"/>
        <v>346</v>
      </c>
      <c r="C347" s="6">
        <f t="shared" ca="1" si="67"/>
        <v>3.9803504816307442E-2</v>
      </c>
      <c r="D347" s="20">
        <f t="shared" ca="1" si="66"/>
        <v>7.1762874559099243E-3</v>
      </c>
      <c r="E347" s="19">
        <f t="shared" ca="1" si="60"/>
        <v>6.0000000000000053E-2</v>
      </c>
      <c r="F347" s="9">
        <f t="shared" ca="1" si="62"/>
        <v>1.1941336975099179E-3</v>
      </c>
      <c r="G347" s="6">
        <f t="shared" ca="1" si="63"/>
        <v>1.1941051444892233E-3</v>
      </c>
      <c r="H347" s="6">
        <f t="shared" ca="1" si="64"/>
        <v>1.0746946300403009E-3</v>
      </c>
      <c r="I347" s="9">
        <f t="shared" ca="1" si="68"/>
        <v>2.8553020694566458E-8</v>
      </c>
      <c r="J347" s="6">
        <f t="shared" ca="1" si="69"/>
        <v>2.388208575797207E-3</v>
      </c>
      <c r="K347" s="9">
        <f t="shared" ca="1" si="70"/>
        <v>2.3882371288179013E-3</v>
      </c>
      <c r="L347" s="6">
        <f t="shared" ca="1" si="71"/>
        <v>3.4629317588582022E-3</v>
      </c>
      <c r="N347" s="9"/>
      <c r="O347" s="9"/>
      <c r="P347" s="9"/>
    </row>
    <row r="348" spans="1:16" x14ac:dyDescent="0.2">
      <c r="A348">
        <f t="shared" si="61"/>
        <v>347</v>
      </c>
      <c r="B348" s="5">
        <f t="shared" ca="1" si="65"/>
        <v>347</v>
      </c>
      <c r="C348" s="6">
        <f t="shared" ca="1" si="67"/>
        <v>3.741526768748954E-2</v>
      </c>
      <c r="D348" s="20">
        <f t="shared" ca="1" si="66"/>
        <v>7.1762874559099243E-3</v>
      </c>
      <c r="E348" s="19">
        <f t="shared" ca="1" si="60"/>
        <v>6.0000000000000053E-2</v>
      </c>
      <c r="F348" s="9">
        <f t="shared" ca="1" si="62"/>
        <v>1.1224848704448856E-3</v>
      </c>
      <c r="G348" s="6">
        <f t="shared" ca="1" si="63"/>
        <v>1.1224580306246862E-3</v>
      </c>
      <c r="H348" s="6">
        <f t="shared" ca="1" si="64"/>
        <v>1.0102122275622175E-3</v>
      </c>
      <c r="I348" s="9">
        <f t="shared" ca="1" si="68"/>
        <v>2.683982019946983E-8</v>
      </c>
      <c r="J348" s="6">
        <f t="shared" ca="1" si="69"/>
        <v>2.2449144508601623E-3</v>
      </c>
      <c r="K348" s="9">
        <f t="shared" ca="1" si="70"/>
        <v>2.244941290680362E-3</v>
      </c>
      <c r="L348" s="6">
        <f t="shared" ca="1" si="71"/>
        <v>3.2551535182425793E-3</v>
      </c>
      <c r="N348" s="9"/>
      <c r="O348" s="9"/>
      <c r="P348" s="9"/>
    </row>
    <row r="349" spans="1:16" x14ac:dyDescent="0.2">
      <c r="A349">
        <f t="shared" si="61"/>
        <v>348</v>
      </c>
      <c r="B349" s="5">
        <f t="shared" ca="1" si="65"/>
        <v>348</v>
      </c>
      <c r="C349" s="6">
        <f t="shared" ca="1" si="67"/>
        <v>3.5170326396809178E-2</v>
      </c>
      <c r="D349" s="20">
        <f t="shared" ca="1" si="66"/>
        <v>7.1762874559099243E-3</v>
      </c>
      <c r="E349" s="19">
        <f t="shared" ca="1" si="60"/>
        <v>6.0000000000000053E-2</v>
      </c>
      <c r="F349" s="9">
        <f t="shared" ca="1" si="62"/>
        <v>1.0551350213171646E-3</v>
      </c>
      <c r="G349" s="6">
        <f t="shared" ca="1" si="63"/>
        <v>1.0551097919042753E-3</v>
      </c>
      <c r="H349" s="6">
        <f t="shared" ca="1" si="64"/>
        <v>9.4959881271384778E-4</v>
      </c>
      <c r="I349" s="9">
        <f t="shared" ca="1" si="68"/>
        <v>2.5229412889361466E-8</v>
      </c>
      <c r="J349" s="6">
        <f t="shared" ca="1" si="69"/>
        <v>2.110218070043779E-3</v>
      </c>
      <c r="K349" s="9">
        <f t="shared" ca="1" si="70"/>
        <v>2.1102432994566682E-3</v>
      </c>
      <c r="L349" s="6">
        <f t="shared" ca="1" si="71"/>
        <v>3.059842112170516E-3</v>
      </c>
      <c r="N349" s="9"/>
      <c r="O349" s="9"/>
      <c r="P349" s="9"/>
    </row>
    <row r="350" spans="1:16" x14ac:dyDescent="0.2">
      <c r="A350">
        <f t="shared" si="61"/>
        <v>349</v>
      </c>
      <c r="B350" s="5">
        <f t="shared" ca="1" si="65"/>
        <v>349</v>
      </c>
      <c r="C350" s="6">
        <f t="shared" ca="1" si="67"/>
        <v>3.3060083097352512E-2</v>
      </c>
      <c r="D350" s="20">
        <f t="shared" ca="1" si="66"/>
        <v>7.1762874559099243E-3</v>
      </c>
      <c r="E350" s="19">
        <f t="shared" ca="1" si="60"/>
        <v>6.0000000000000053E-2</v>
      </c>
      <c r="F350" s="9">
        <f t="shared" ca="1" si="62"/>
        <v>9.9182620855167887E-4</v>
      </c>
      <c r="G350" s="6">
        <f t="shared" ca="1" si="63"/>
        <v>9.9180249292057541E-4</v>
      </c>
      <c r="H350" s="6">
        <f t="shared" ca="1" si="64"/>
        <v>8.9262224362851778E-4</v>
      </c>
      <c r="I350" s="9">
        <f t="shared" ca="1" si="68"/>
        <v>2.3715631103458229E-8</v>
      </c>
      <c r="J350" s="6">
        <f t="shared" ca="1" si="69"/>
        <v>1.9836035629032861E-3</v>
      </c>
      <c r="K350" s="9">
        <f t="shared" ca="1" si="70"/>
        <v>1.9836272785343895E-3</v>
      </c>
      <c r="L350" s="6">
        <f t="shared" ca="1" si="71"/>
        <v>2.8762495221629075E-3</v>
      </c>
      <c r="N350" s="9"/>
      <c r="O350" s="9"/>
      <c r="P350" s="9"/>
    </row>
    <row r="351" spans="1:16" x14ac:dyDescent="0.2">
      <c r="A351">
        <f t="shared" si="61"/>
        <v>350</v>
      </c>
      <c r="B351" s="5">
        <f t="shared" ca="1" si="65"/>
        <v>350</v>
      </c>
      <c r="C351" s="6">
        <f t="shared" ca="1" si="67"/>
        <v>3.1076455818818124E-2</v>
      </c>
      <c r="D351" s="20">
        <f t="shared" ca="1" si="66"/>
        <v>7.1762874559099243E-3</v>
      </c>
      <c r="E351" s="19">
        <f t="shared" ca="1" si="60"/>
        <v>6.0000000000000053E-2</v>
      </c>
      <c r="F351" s="9">
        <f t="shared" ca="1" si="62"/>
        <v>9.3231596724178923E-4</v>
      </c>
      <c r="G351" s="6">
        <f t="shared" ca="1" si="63"/>
        <v>9.3229367456454371E-4</v>
      </c>
      <c r="H351" s="6">
        <f t="shared" ca="1" si="64"/>
        <v>8.3906430710808933E-4</v>
      </c>
      <c r="I351" s="9">
        <f t="shared" ca="1" si="68"/>
        <v>2.2292677245524563E-8</v>
      </c>
      <c r="J351" s="6">
        <f t="shared" ca="1" si="69"/>
        <v>1.8645860115684544E-3</v>
      </c>
      <c r="K351" s="9">
        <f t="shared" ca="1" si="70"/>
        <v>1.8646083042457001E-3</v>
      </c>
      <c r="L351" s="6">
        <f t="shared" ca="1" si="71"/>
        <v>2.7036726113537895E-3</v>
      </c>
      <c r="N351" s="9"/>
      <c r="O351" s="9"/>
      <c r="P351" s="9"/>
    </row>
    <row r="352" spans="1:16" x14ac:dyDescent="0.2">
      <c r="A352">
        <f t="shared" si="61"/>
        <v>351</v>
      </c>
      <c r="B352" s="5">
        <f t="shared" ca="1" si="65"/>
        <v>351</v>
      </c>
      <c r="C352" s="6">
        <f t="shared" ca="1" si="67"/>
        <v>2.9211847514572425E-2</v>
      </c>
      <c r="D352" s="20">
        <f t="shared" ca="1" si="66"/>
        <v>7.1762874559099243E-3</v>
      </c>
      <c r="E352" s="19">
        <f t="shared" ca="1" si="60"/>
        <v>6.0000000000000053E-2</v>
      </c>
      <c r="F352" s="9">
        <f t="shared" ca="1" si="62"/>
        <v>8.7637638053875144E-4</v>
      </c>
      <c r="G352" s="6">
        <f t="shared" ca="1" si="63"/>
        <v>8.7635542543717268E-4</v>
      </c>
      <c r="H352" s="6">
        <f t="shared" ca="1" si="64"/>
        <v>7.8871988289345551E-4</v>
      </c>
      <c r="I352" s="9">
        <f t="shared" ca="1" si="68"/>
        <v>2.095510157876148E-8</v>
      </c>
      <c r="J352" s="6">
        <f t="shared" ca="1" si="69"/>
        <v>1.7527095935682524E-3</v>
      </c>
      <c r="K352" s="9">
        <f t="shared" ca="1" si="70"/>
        <v>1.752730548669831E-3</v>
      </c>
      <c r="L352" s="6">
        <f t="shared" ca="1" si="71"/>
        <v>2.5414504315632866E-3</v>
      </c>
      <c r="N352" s="9"/>
      <c r="O352" s="9"/>
      <c r="P352" s="9"/>
    </row>
    <row r="353" spans="1:16" x14ac:dyDescent="0.2">
      <c r="A353">
        <f t="shared" si="61"/>
        <v>352</v>
      </c>
      <c r="B353" s="5">
        <f t="shared" ca="1" si="65"/>
        <v>352</v>
      </c>
      <c r="C353" s="6">
        <f t="shared" ca="1" si="67"/>
        <v>2.7459116965902593E-2</v>
      </c>
      <c r="D353" s="20">
        <f t="shared" ca="1" si="66"/>
        <v>7.1762874559099243E-3</v>
      </c>
      <c r="E353" s="19">
        <f t="shared" ref="E353:E361" ca="1" si="72">IFERROR(E352,0)</f>
        <v>6.0000000000000053E-2</v>
      </c>
      <c r="F353" s="9">
        <f t="shared" ca="1" si="62"/>
        <v>8.2379320675843152E-4</v>
      </c>
      <c r="G353" s="6">
        <f t="shared" ca="1" si="63"/>
        <v>8.237735089770778E-4</v>
      </c>
      <c r="H353" s="6">
        <f t="shared" ca="1" si="64"/>
        <v>7.4139615807936998E-4</v>
      </c>
      <c r="I353" s="9">
        <f t="shared" ca="1" si="68"/>
        <v>1.9697781353722119E-8</v>
      </c>
      <c r="J353" s="6">
        <f t="shared" ca="1" si="69"/>
        <v>1.6475458360872758E-3</v>
      </c>
      <c r="K353" s="9">
        <f t="shared" ca="1" si="70"/>
        <v>1.6475655338686296E-3</v>
      </c>
      <c r="L353" s="6">
        <f t="shared" ca="1" si="71"/>
        <v>2.3889616919479995E-3</v>
      </c>
      <c r="N353" s="9"/>
      <c r="O353" s="9"/>
      <c r="P353" s="9"/>
    </row>
    <row r="354" spans="1:16" x14ac:dyDescent="0.2">
      <c r="A354">
        <f t="shared" si="61"/>
        <v>353</v>
      </c>
      <c r="B354" s="5">
        <f t="shared" ca="1" si="65"/>
        <v>353</v>
      </c>
      <c r="C354" s="6">
        <f t="shared" ca="1" si="67"/>
        <v>2.5811551432033963E-2</v>
      </c>
      <c r="D354" s="20">
        <f t="shared" ca="1" si="66"/>
        <v>7.1762874559099243E-3</v>
      </c>
      <c r="E354" s="19">
        <f t="shared" ca="1" si="72"/>
        <v>6.0000000000000053E-2</v>
      </c>
      <c r="F354" s="9">
        <f t="shared" ca="1" si="62"/>
        <v>7.74365058862209E-4</v>
      </c>
      <c r="G354" s="6">
        <f t="shared" ca="1" si="63"/>
        <v>7.7434654296101889E-4</v>
      </c>
      <c r="H354" s="6">
        <f t="shared" ca="1" si="64"/>
        <v>6.9691188866491697E-4</v>
      </c>
      <c r="I354" s="9">
        <f t="shared" ca="1" si="68"/>
        <v>1.8515901190107112E-8</v>
      </c>
      <c r="J354" s="6">
        <f t="shared" ca="1" si="69"/>
        <v>1.5486919749679677E-3</v>
      </c>
      <c r="K354" s="9">
        <f t="shared" ca="1" si="70"/>
        <v>1.5487104908691578E-3</v>
      </c>
      <c r="L354" s="6">
        <f t="shared" ca="1" si="71"/>
        <v>2.2456223795340748E-3</v>
      </c>
      <c r="N354" s="9"/>
      <c r="O354" s="9"/>
      <c r="P354" s="9"/>
    </row>
    <row r="355" spans="1:16" x14ac:dyDescent="0.2">
      <c r="A355">
        <f t="shared" si="61"/>
        <v>354</v>
      </c>
      <c r="B355" s="5">
        <f t="shared" ca="1" si="65"/>
        <v>354</v>
      </c>
      <c r="C355" s="6">
        <f t="shared" ca="1" si="67"/>
        <v>2.4262840941164807E-2</v>
      </c>
      <c r="D355" s="20">
        <f t="shared" ca="1" si="66"/>
        <v>7.1762874559099243E-3</v>
      </c>
      <c r="E355" s="19">
        <f t="shared" ca="1" si="72"/>
        <v>6.0000000000000053E-2</v>
      </c>
      <c r="F355" s="9">
        <f t="shared" ca="1" si="62"/>
        <v>7.2790263316957753E-4</v>
      </c>
      <c r="G355" s="6">
        <f t="shared" ca="1" si="63"/>
        <v>7.2788522823494413E-4</v>
      </c>
      <c r="H355" s="6">
        <f t="shared" ca="1" si="64"/>
        <v>6.5509670541144982E-4</v>
      </c>
      <c r="I355" s="9">
        <f t="shared" ca="1" si="68"/>
        <v>1.7404934633401432E-8</v>
      </c>
      <c r="J355" s="6">
        <f t="shared" ca="1" si="69"/>
        <v>1.4557694121738118E-3</v>
      </c>
      <c r="K355" s="9">
        <f t="shared" ca="1" si="70"/>
        <v>1.4557868171084453E-3</v>
      </c>
      <c r="L355" s="6">
        <f t="shared" ca="1" si="71"/>
        <v>2.110883522519895E-3</v>
      </c>
      <c r="N355" s="9"/>
      <c r="O355" s="9"/>
      <c r="P355" s="9"/>
    </row>
    <row r="356" spans="1:16" x14ac:dyDescent="0.2">
      <c r="A356">
        <f t="shared" si="61"/>
        <v>355</v>
      </c>
      <c r="B356" s="5">
        <f t="shared" ca="1" si="65"/>
        <v>355</v>
      </c>
      <c r="C356" s="6">
        <f t="shared" ca="1" si="67"/>
        <v>2.2807054124056363E-2</v>
      </c>
      <c r="D356" s="20">
        <f t="shared" ca="1" si="66"/>
        <v>7.1762874559099243E-3</v>
      </c>
      <c r="E356" s="19">
        <f t="shared" ca="1" si="72"/>
        <v>6.0000000000000053E-2</v>
      </c>
      <c r="F356" s="9">
        <f t="shared" ca="1" si="62"/>
        <v>6.8422798434850985E-4</v>
      </c>
      <c r="G356" s="6">
        <f t="shared" ca="1" si="63"/>
        <v>6.8421162372169083E-4</v>
      </c>
      <c r="H356" s="6">
        <f t="shared" ca="1" si="64"/>
        <v>6.157904613495218E-4</v>
      </c>
      <c r="I356" s="9">
        <f t="shared" ca="1" si="68"/>
        <v>1.6360626819023755E-8</v>
      </c>
      <c r="J356" s="6">
        <f t="shared" ca="1" si="69"/>
        <v>1.3684222658057739E-3</v>
      </c>
      <c r="K356" s="9">
        <f t="shared" ca="1" si="70"/>
        <v>1.3684386264325929E-3</v>
      </c>
      <c r="L356" s="6">
        <f t="shared" ca="1" si="71"/>
        <v>1.9842290877821146E-3</v>
      </c>
      <c r="N356" s="9"/>
      <c r="O356" s="9"/>
      <c r="P356" s="9"/>
    </row>
    <row r="357" spans="1:16" x14ac:dyDescent="0.2">
      <c r="A357">
        <f t="shared" si="61"/>
        <v>356</v>
      </c>
      <c r="B357" s="5">
        <f t="shared" ca="1" si="65"/>
        <v>356</v>
      </c>
      <c r="C357" s="6">
        <f t="shared" ca="1" si="67"/>
        <v>2.143861549762377E-2</v>
      </c>
      <c r="D357" s="20">
        <f t="shared" ca="1" si="66"/>
        <v>7.1762874559099243E-3</v>
      </c>
      <c r="E357" s="19">
        <f t="shared" ca="1" si="72"/>
        <v>6.0000000000000053E-2</v>
      </c>
      <c r="F357" s="9">
        <f t="shared" ca="1" si="62"/>
        <v>6.431738439068909E-4</v>
      </c>
      <c r="G357" s="6">
        <f t="shared" ca="1" si="63"/>
        <v>6.4315846492871305E-4</v>
      </c>
      <c r="H357" s="6">
        <f t="shared" ca="1" si="64"/>
        <v>5.788426184358418E-4</v>
      </c>
      <c r="I357" s="9">
        <f t="shared" ca="1" si="68"/>
        <v>1.5378978177852005E-8</v>
      </c>
      <c r="J357" s="6">
        <f t="shared" ca="1" si="69"/>
        <v>1.2863160071187366E-3</v>
      </c>
      <c r="K357" s="9">
        <f t="shared" ca="1" si="70"/>
        <v>1.2863313860969144E-3</v>
      </c>
      <c r="L357" s="6">
        <f t="shared" ca="1" si="71"/>
        <v>1.8651740045327562E-3</v>
      </c>
      <c r="N357" s="9"/>
      <c r="O357" s="9"/>
      <c r="P357" s="9"/>
    </row>
    <row r="358" spans="1:16" x14ac:dyDescent="0.2">
      <c r="A358">
        <f t="shared" si="61"/>
        <v>357</v>
      </c>
      <c r="B358" s="5">
        <f t="shared" ca="1" si="65"/>
        <v>357</v>
      </c>
      <c r="C358" s="6">
        <f t="shared" ca="1" si="67"/>
        <v>2.0152284111526857E-2</v>
      </c>
      <c r="D358" s="20">
        <f t="shared" ca="1" si="66"/>
        <v>7.1762874559099243E-3</v>
      </c>
      <c r="E358" s="19">
        <f t="shared" ca="1" si="72"/>
        <v>6.0000000000000053E-2</v>
      </c>
      <c r="F358" s="9">
        <f t="shared" ca="1" si="62"/>
        <v>6.0458297957492258E-4</v>
      </c>
      <c r="G358" s="6">
        <f t="shared" ca="1" si="63"/>
        <v>6.045685233458057E-4</v>
      </c>
      <c r="H358" s="6">
        <f t="shared" ca="1" si="64"/>
        <v>5.4411167101122511E-4</v>
      </c>
      <c r="I358" s="9">
        <f t="shared" ca="1" si="68"/>
        <v>1.4456229116880347E-8</v>
      </c>
      <c r="J358" s="6">
        <f t="shared" ca="1" si="69"/>
        <v>1.2091361793178654E-3</v>
      </c>
      <c r="K358" s="9">
        <f t="shared" ca="1" si="70"/>
        <v>1.2091506355469822E-3</v>
      </c>
      <c r="L358" s="6">
        <f t="shared" ca="1" si="71"/>
        <v>1.7532623065582074E-3</v>
      </c>
      <c r="N358" s="9"/>
      <c r="O358" s="9"/>
      <c r="P358" s="9"/>
    </row>
    <row r="359" spans="1:16" x14ac:dyDescent="0.2">
      <c r="A359">
        <f t="shared" si="61"/>
        <v>358</v>
      </c>
      <c r="B359" s="5">
        <f t="shared" ca="1" si="65"/>
        <v>358</v>
      </c>
      <c r="C359" s="6">
        <f t="shared" ca="1" si="67"/>
        <v>1.8943133475979874E-2</v>
      </c>
      <c r="D359" s="20">
        <f t="shared" ca="1" si="66"/>
        <v>7.1762874559099243E-3</v>
      </c>
      <c r="E359" s="19">
        <f t="shared" ca="1" si="72"/>
        <v>6.0000000000000053E-2</v>
      </c>
      <c r="F359" s="9">
        <f t="shared" ca="1" si="62"/>
        <v>5.6830759312501817E-4</v>
      </c>
      <c r="G359" s="6">
        <f t="shared" ca="1" si="63"/>
        <v>5.6829400427939618E-4</v>
      </c>
      <c r="H359" s="6">
        <f t="shared" ca="1" si="64"/>
        <v>5.1146460385145657E-4</v>
      </c>
      <c r="I359" s="9">
        <f t="shared" ca="1" si="68"/>
        <v>1.3588845621990107E-8</v>
      </c>
      <c r="J359" s="6">
        <f t="shared" ca="1" si="69"/>
        <v>1.1365871932280563E-3</v>
      </c>
      <c r="K359" s="9">
        <f t="shared" ca="1" si="70"/>
        <v>1.1366007820736782E-3</v>
      </c>
      <c r="L359" s="6">
        <f t="shared" ca="1" si="71"/>
        <v>1.6480653859251347E-3</v>
      </c>
      <c r="N359" s="9"/>
      <c r="O359" s="9"/>
      <c r="P359" s="9"/>
    </row>
    <row r="360" spans="1:16" x14ac:dyDescent="0.2">
      <c r="A360">
        <f t="shared" si="61"/>
        <v>359</v>
      </c>
      <c r="B360" s="5">
        <f t="shared" ca="1" si="65"/>
        <v>359</v>
      </c>
      <c r="C360" s="6">
        <f t="shared" ca="1" si="67"/>
        <v>1.7806532693906196E-2</v>
      </c>
      <c r="D360" s="20">
        <f t="shared" ca="1" si="66"/>
        <v>7.1762874559099243E-3</v>
      </c>
      <c r="E360" s="19">
        <f t="shared" ca="1" si="72"/>
        <v>6.0000000000000053E-2</v>
      </c>
      <c r="F360" s="9">
        <f t="shared" ca="1" si="62"/>
        <v>5.3420875432290741E-4</v>
      </c>
      <c r="G360" s="6">
        <f t="shared" ca="1" si="63"/>
        <v>5.3419598081718583E-4</v>
      </c>
      <c r="H360" s="6">
        <f t="shared" ca="1" si="64"/>
        <v>4.8077638273546732E-4</v>
      </c>
      <c r="I360" s="9">
        <f t="shared" ca="1" si="68"/>
        <v>1.277350572157724E-8</v>
      </c>
      <c r="J360" s="6">
        <f t="shared" ca="1" si="69"/>
        <v>1.0683911952240293E-3</v>
      </c>
      <c r="K360" s="9">
        <f t="shared" ca="1" si="70"/>
        <v>1.0684039687297508E-3</v>
      </c>
      <c r="L360" s="6">
        <f t="shared" ca="1" si="71"/>
        <v>1.5491803514652181E-3</v>
      </c>
      <c r="N360" s="9"/>
      <c r="O360" s="9"/>
      <c r="P360" s="9"/>
    </row>
    <row r="361" spans="1:16" x14ac:dyDescent="0.2">
      <c r="A361">
        <f t="shared" si="61"/>
        <v>360</v>
      </c>
      <c r="B361" s="5">
        <f t="shared" ca="1" si="65"/>
        <v>360</v>
      </c>
      <c r="C361" s="6">
        <f t="shared" ca="1" si="67"/>
        <v>1.6738128725176445E-2</v>
      </c>
      <c r="D361" s="20">
        <f t="shared" ca="1" si="66"/>
        <v>7.1762874559099243E-3</v>
      </c>
      <c r="E361" s="19">
        <f t="shared" ca="1" si="72"/>
        <v>6.0000000000000053E-2</v>
      </c>
      <c r="F361" s="9">
        <f t="shared" ca="1" si="62"/>
        <v>5.0215586884205831E-4</v>
      </c>
      <c r="G361" s="6">
        <f t="shared" ca="1" si="63"/>
        <v>5.0214386175529335E-4</v>
      </c>
      <c r="H361" s="6">
        <f t="shared" ca="1" si="64"/>
        <v>4.5192947557976399E-4</v>
      </c>
      <c r="I361" s="9">
        <f t="shared" ca="1" si="68"/>
        <v>1.2007086764957708E-8</v>
      </c>
      <c r="J361" s="6">
        <f t="shared" ca="1" si="69"/>
        <v>1.0042870030853815E-3</v>
      </c>
      <c r="K361" s="9">
        <f t="shared" ca="1" si="70"/>
        <v>1.0042990101721465E-3</v>
      </c>
      <c r="L361" s="6">
        <f t="shared" ca="1" si="71"/>
        <v>1.4562284857519104E-3</v>
      </c>
      <c r="N361" s="9"/>
      <c r="O361" s="9"/>
      <c r="P361" s="9"/>
    </row>
  </sheetData>
  <conditionalFormatting sqref="C1:L1048576 N13 N15:N1048576">
    <cfRule type="cellIs" dxfId="8" priority="1" operator="equal">
      <formula>0</formula>
    </cfRule>
  </conditionalFormatting>
  <hyperlinks>
    <hyperlink ref="N14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62"/>
  <sheetViews>
    <sheetView zoomScale="112" workbookViewId="0">
      <pane ySplit="1" topLeftCell="A2" activePane="bottomLeft" state="frozen"/>
      <selection pane="bottomLeft" activeCell="F9" sqref="F9"/>
    </sheetView>
  </sheetViews>
  <sheetFormatPr baseColWidth="10" defaultColWidth="8.83203125" defaultRowHeight="15" x14ac:dyDescent="0.2"/>
  <cols>
    <col min="1" max="1" width="6.33203125" style="3" customWidth="1"/>
    <col min="2" max="2" width="15.1640625" customWidth="1"/>
    <col min="3" max="3" width="15" customWidth="1"/>
    <col min="4" max="4" width="13.5" customWidth="1"/>
    <col min="5" max="5" width="14.33203125" customWidth="1"/>
    <col min="6" max="6" width="10.6640625" customWidth="1"/>
    <col min="7" max="7" width="12.83203125" style="24" customWidth="1"/>
    <col min="8" max="8" width="21.33203125" customWidth="1"/>
    <col min="9" max="9" width="22.33203125" customWidth="1"/>
    <col min="10" max="10" width="19" customWidth="1"/>
    <col min="11" max="11" width="19.83203125" customWidth="1"/>
    <col min="12" max="12" width="9.6640625" customWidth="1"/>
    <col min="13" max="13" width="15.1640625" customWidth="1"/>
    <col min="14" max="14" width="13.5" customWidth="1"/>
    <col min="15" max="15" width="12.5" customWidth="1"/>
    <col min="16" max="16" width="14.83203125" customWidth="1"/>
    <col min="18" max="19" width="10.5" customWidth="1"/>
  </cols>
  <sheetData>
    <row r="1" spans="1:18" ht="29.25" customHeight="1" thickBot="1" x14ac:dyDescent="0.3">
      <c r="A1" s="28" t="s">
        <v>9</v>
      </c>
      <c r="B1" s="28" t="s">
        <v>24</v>
      </c>
      <c r="C1" s="28" t="s">
        <v>37</v>
      </c>
      <c r="D1" s="28" t="s">
        <v>31</v>
      </c>
      <c r="E1" s="28" t="s">
        <v>3</v>
      </c>
      <c r="F1" s="28" t="s">
        <v>32</v>
      </c>
      <c r="G1" s="29" t="s">
        <v>33</v>
      </c>
      <c r="H1" s="30" t="s">
        <v>1</v>
      </c>
      <c r="I1" s="27"/>
      <c r="J1" s="30" t="s">
        <v>21</v>
      </c>
      <c r="K1" s="31"/>
      <c r="L1" s="31"/>
      <c r="M1" s="28" t="s">
        <v>39</v>
      </c>
      <c r="N1" s="28" t="s">
        <v>31</v>
      </c>
      <c r="O1" s="28" t="s">
        <v>3</v>
      </c>
      <c r="P1" s="28" t="s">
        <v>24</v>
      </c>
    </row>
    <row r="2" spans="1:18" ht="16" thickTop="1" x14ac:dyDescent="0.2">
      <c r="A2" s="3">
        <f t="shared" ref="A2:A65" si="0">IF(ROW(A2)-1&gt;$I$4,"",ROW(A2)-1)</f>
        <v>1</v>
      </c>
      <c r="B2" s="6">
        <f>I3</f>
        <v>50000000</v>
      </c>
      <c r="C2" s="9">
        <f>IF(B2&gt;0, IF(F2=TRUE, D2+E2+G2,D2+E2), "")</f>
        <v>210802.01686472521</v>
      </c>
      <c r="D2" s="9">
        <f>-PPMT($I$2/12,A2,$I$4, B2)</f>
        <v>85802.016864725229</v>
      </c>
      <c r="E2" s="9">
        <f t="shared" ref="E2:E65" si="1">MAX(0,-IPMT($I$2/12,A2, $I$4,B2))</f>
        <v>125000</v>
      </c>
      <c r="F2" s="9" t="b">
        <v>0</v>
      </c>
      <c r="G2" s="24" t="str">
        <f>IF(F2=TRUE,D2*2,"")</f>
        <v/>
      </c>
      <c r="H2" s="11" t="s">
        <v>0</v>
      </c>
      <c r="I2" s="8">
        <v>0.03</v>
      </c>
      <c r="J2" s="11" t="s">
        <v>34</v>
      </c>
      <c r="K2" s="13">
        <f>SUM(G2:G361)</f>
        <v>0</v>
      </c>
      <c r="L2" t="b">
        <v>1</v>
      </c>
      <c r="M2" s="9">
        <f t="shared" ref="M2:M65" si="2">-PMT($I$2/12, ($I$4/12)*12, $I$3)</f>
        <v>210802.01686472524</v>
      </c>
      <c r="N2" s="9">
        <f t="shared" ref="N2:N65" si="3">-PPMT($I$2/12,A2,$I$4, $I$3)</f>
        <v>85802.016864725229</v>
      </c>
      <c r="O2" s="9">
        <f t="shared" ref="O2:O65" si="4">MAX(0,-IPMT($I$2/12,A2, $I$4,P2))</f>
        <v>125000</v>
      </c>
      <c r="P2" s="6">
        <f>I3</f>
        <v>50000000</v>
      </c>
    </row>
    <row r="3" spans="1:18" x14ac:dyDescent="0.2">
      <c r="A3" s="3">
        <f t="shared" si="0"/>
        <v>2</v>
      </c>
      <c r="B3" s="6">
        <f>MAX(0,IF(F3=TRUE,B2-(D3+G3),B2-D2))</f>
        <v>49914197.983135276</v>
      </c>
      <c r="C3" s="9">
        <f t="shared" ref="C3:C66" si="5">IF(B3&gt;0, IF(F3=TRUE, D3+E3+G3,D3+E3), "")</f>
        <v>210587.87992186833</v>
      </c>
      <c r="D3" s="9">
        <f t="shared" ref="D3:D66" si="6">-PPMT($I$2/12,A3,$I$4, $I$3)</f>
        <v>86016.52190688705</v>
      </c>
      <c r="E3" s="9">
        <f t="shared" si="1"/>
        <v>124571.35801498128</v>
      </c>
      <c r="F3" s="9" t="b">
        <v>0</v>
      </c>
      <c r="G3" s="24" t="str">
        <f t="shared" ref="G3:G66" si="7">IF(F3=TRUE,D3*2,"")</f>
        <v/>
      </c>
      <c r="H3" s="11" t="s">
        <v>4</v>
      </c>
      <c r="I3" s="2">
        <v>50000000</v>
      </c>
      <c r="J3" s="12" t="s">
        <v>36</v>
      </c>
      <c r="K3" s="22">
        <f>SUM(O2:O361)</f>
        <v>18585106.923721176</v>
      </c>
      <c r="L3" t="b">
        <v>0</v>
      </c>
      <c r="M3" s="9">
        <f t="shared" si="2"/>
        <v>210802.01686472524</v>
      </c>
      <c r="N3" s="9">
        <f t="shared" si="3"/>
        <v>86016.52190688705</v>
      </c>
      <c r="O3" s="9">
        <f t="shared" si="4"/>
        <v>124571.35801498128</v>
      </c>
      <c r="P3" s="6">
        <f t="shared" ref="P3:P66" si="8">P2-N2</f>
        <v>49914197.983135276</v>
      </c>
    </row>
    <row r="4" spans="1:18" x14ac:dyDescent="0.2">
      <c r="A4" s="3">
        <f t="shared" si="0"/>
        <v>3</v>
      </c>
      <c r="B4" s="6">
        <f t="shared" ref="B4:B67" si="9">MAX(0,IF(F4=TRUE,B3-(D4+G4),B3-D3))</f>
        <v>49828181.461228386</v>
      </c>
      <c r="C4" s="9">
        <f t="shared" si="5"/>
        <v>210373.94659830947</v>
      </c>
      <c r="D4" s="9">
        <f t="shared" si="6"/>
        <v>86231.563211654255</v>
      </c>
      <c r="E4" s="9">
        <f t="shared" si="1"/>
        <v>124142.38338665522</v>
      </c>
      <c r="F4" s="9" t="b">
        <v>0</v>
      </c>
      <c r="G4" s="24" t="str">
        <f t="shared" si="7"/>
        <v/>
      </c>
      <c r="H4" s="11" t="s">
        <v>38</v>
      </c>
      <c r="I4" s="1">
        <v>360</v>
      </c>
      <c r="J4" s="12" t="s">
        <v>29</v>
      </c>
      <c r="K4" s="22">
        <f>SUM(E2:E361)</f>
        <v>18585106.923721176</v>
      </c>
      <c r="M4" s="9">
        <f t="shared" si="2"/>
        <v>210802.01686472524</v>
      </c>
      <c r="N4" s="9">
        <f t="shared" si="3"/>
        <v>86231.563211654255</v>
      </c>
      <c r="O4" s="9">
        <f t="shared" si="4"/>
        <v>124142.38338665522</v>
      </c>
      <c r="P4" s="6">
        <f t="shared" si="8"/>
        <v>49828181.461228386</v>
      </c>
    </row>
    <row r="5" spans="1:18" x14ac:dyDescent="0.2">
      <c r="A5" s="3">
        <f t="shared" si="0"/>
        <v>4</v>
      </c>
      <c r="B5" s="6">
        <f t="shared" si="9"/>
        <v>49741949.898016728</v>
      </c>
      <c r="C5" s="9">
        <f t="shared" si="5"/>
        <v>210160.22110252373</v>
      </c>
      <c r="D5" s="9">
        <f t="shared" si="6"/>
        <v>86447.142119683383</v>
      </c>
      <c r="E5" s="9">
        <f t="shared" si="1"/>
        <v>123713.07898284035</v>
      </c>
      <c r="F5" s="9" t="b">
        <v>0</v>
      </c>
      <c r="G5" s="24" t="str">
        <f t="shared" si="7"/>
        <v/>
      </c>
      <c r="H5" s="11" t="s">
        <v>30</v>
      </c>
      <c r="I5" s="25">
        <f>COUNTIF(B2:B361,"&lt;&gt;0")</f>
        <v>360</v>
      </c>
      <c r="J5" s="11" t="s">
        <v>35</v>
      </c>
      <c r="K5" s="23">
        <f>-(K3-K4)</f>
        <v>0</v>
      </c>
      <c r="M5" s="9">
        <f t="shared" si="2"/>
        <v>210802.01686472524</v>
      </c>
      <c r="N5" s="9">
        <f t="shared" si="3"/>
        <v>86447.142119683383</v>
      </c>
      <c r="O5" s="9">
        <f t="shared" si="4"/>
        <v>123713.07898284035</v>
      </c>
      <c r="P5" s="6">
        <f t="shared" si="8"/>
        <v>49741949.898016728</v>
      </c>
    </row>
    <row r="6" spans="1:18" x14ac:dyDescent="0.2">
      <c r="A6" s="3">
        <f t="shared" si="0"/>
        <v>5</v>
      </c>
      <c r="B6" s="6">
        <f t="shared" si="9"/>
        <v>49655502.755897045</v>
      </c>
      <c r="C6" s="9">
        <f t="shared" si="5"/>
        <v>209946.70767202758</v>
      </c>
      <c r="D6" s="9">
        <f t="shared" si="6"/>
        <v>86663.259974982589</v>
      </c>
      <c r="E6" s="9">
        <f t="shared" si="1"/>
        <v>123283.44769704499</v>
      </c>
      <c r="F6" s="9" t="b">
        <v>0</v>
      </c>
      <c r="G6" s="24" t="str">
        <f t="shared" si="7"/>
        <v/>
      </c>
      <c r="H6" s="9"/>
      <c r="M6" s="9">
        <f t="shared" si="2"/>
        <v>210802.01686472524</v>
      </c>
      <c r="N6" s="9">
        <f t="shared" si="3"/>
        <v>86663.259974982589</v>
      </c>
      <c r="O6" s="9">
        <f t="shared" si="4"/>
        <v>123283.44769704499</v>
      </c>
      <c r="P6" s="6">
        <f t="shared" si="8"/>
        <v>49655502.755897045</v>
      </c>
    </row>
    <row r="7" spans="1:18" x14ac:dyDescent="0.2">
      <c r="A7" s="3">
        <f t="shared" si="0"/>
        <v>6</v>
      </c>
      <c r="B7" s="6">
        <f t="shared" si="9"/>
        <v>49568839.495922059</v>
      </c>
      <c r="C7" s="9">
        <f t="shared" si="5"/>
        <v>209733.41057354421</v>
      </c>
      <c r="D7" s="9">
        <f t="shared" si="6"/>
        <v>86879.918124920063</v>
      </c>
      <c r="E7" s="9">
        <f t="shared" si="1"/>
        <v>122853.49244862417</v>
      </c>
      <c r="F7" s="9" t="b">
        <v>0</v>
      </c>
      <c r="G7" s="24" t="str">
        <f t="shared" si="7"/>
        <v/>
      </c>
      <c r="H7" s="9"/>
      <c r="I7" s="4"/>
      <c r="M7" s="9">
        <f t="shared" si="2"/>
        <v>210802.01686472524</v>
      </c>
      <c r="N7" s="9">
        <f t="shared" si="3"/>
        <v>86879.918124920063</v>
      </c>
      <c r="O7" s="9">
        <f t="shared" si="4"/>
        <v>122853.49244862417</v>
      </c>
      <c r="P7" s="6">
        <f t="shared" si="8"/>
        <v>49568839.495922059</v>
      </c>
    </row>
    <row r="8" spans="1:18" x14ac:dyDescent="0.2">
      <c r="A8" s="3">
        <f t="shared" si="0"/>
        <v>7</v>
      </c>
      <c r="B8" s="6">
        <f t="shared" si="9"/>
        <v>49481959.577797137</v>
      </c>
      <c r="C8" s="9">
        <f t="shared" si="5"/>
        <v>209520.33410316991</v>
      </c>
      <c r="D8" s="9">
        <f t="shared" si="6"/>
        <v>87097.11792023234</v>
      </c>
      <c r="E8" s="9">
        <f t="shared" si="1"/>
        <v>122423.21618293755</v>
      </c>
      <c r="F8" s="9" t="b">
        <v>0</v>
      </c>
      <c r="G8" s="24" t="str">
        <f t="shared" si="7"/>
        <v/>
      </c>
      <c r="H8" s="9"/>
      <c r="M8" s="9">
        <f t="shared" si="2"/>
        <v>210802.01686472524</v>
      </c>
      <c r="N8" s="9">
        <f t="shared" si="3"/>
        <v>87097.11792023234</v>
      </c>
      <c r="O8" s="9">
        <f t="shared" si="4"/>
        <v>122423.21618293755</v>
      </c>
      <c r="P8" s="6">
        <f t="shared" si="8"/>
        <v>49481959.577797137</v>
      </c>
    </row>
    <row r="9" spans="1:18" x14ac:dyDescent="0.2">
      <c r="A9" s="3">
        <f t="shared" si="0"/>
        <v>8</v>
      </c>
      <c r="B9" s="6">
        <f t="shared" si="9"/>
        <v>49394862.459876902</v>
      </c>
      <c r="C9" s="9">
        <f t="shared" si="5"/>
        <v>209307.48258654081</v>
      </c>
      <c r="D9" s="9">
        <f t="shared" si="6"/>
        <v>87314.860715032934</v>
      </c>
      <c r="E9" s="9">
        <f t="shared" si="1"/>
        <v>121992.62187150787</v>
      </c>
      <c r="F9" s="9" t="b">
        <v>0</v>
      </c>
      <c r="G9" s="24" t="str">
        <f t="shared" si="7"/>
        <v/>
      </c>
      <c r="H9" s="9"/>
      <c r="M9" s="9">
        <f t="shared" si="2"/>
        <v>210802.01686472524</v>
      </c>
      <c r="N9" s="9">
        <f t="shared" si="3"/>
        <v>87314.860715032934</v>
      </c>
      <c r="O9" s="9">
        <f t="shared" si="4"/>
        <v>121992.62187150787</v>
      </c>
      <c r="P9" s="6">
        <f t="shared" si="8"/>
        <v>49394862.459876902</v>
      </c>
    </row>
    <row r="10" spans="1:18" x14ac:dyDescent="0.2">
      <c r="A10" s="3">
        <f t="shared" si="0"/>
        <v>9</v>
      </c>
      <c r="B10" s="6">
        <f t="shared" si="9"/>
        <v>49307547.599161871</v>
      </c>
      <c r="C10" s="9">
        <f t="shared" si="5"/>
        <v>209094.86037900124</v>
      </c>
      <c r="D10" s="9">
        <f t="shared" si="6"/>
        <v>87533.147866820524</v>
      </c>
      <c r="E10" s="9">
        <f t="shared" si="1"/>
        <v>121561.71251218072</v>
      </c>
      <c r="F10" s="9" t="b">
        <v>0</v>
      </c>
      <c r="G10" s="24" t="str">
        <f t="shared" si="7"/>
        <v/>
      </c>
      <c r="H10" s="9"/>
      <c r="M10" s="9">
        <f t="shared" si="2"/>
        <v>210802.01686472524</v>
      </c>
      <c r="N10" s="9">
        <f t="shared" si="3"/>
        <v>87533.147866820524</v>
      </c>
      <c r="O10" s="9">
        <f t="shared" si="4"/>
        <v>121561.71251218072</v>
      </c>
      <c r="P10" s="6">
        <f t="shared" si="8"/>
        <v>49307547.599161871</v>
      </c>
    </row>
    <row r="11" spans="1:18" x14ac:dyDescent="0.2">
      <c r="A11" s="3">
        <f t="shared" si="0"/>
        <v>10</v>
      </c>
      <c r="B11" s="6">
        <f t="shared" si="9"/>
        <v>49220014.451295048</v>
      </c>
      <c r="C11" s="9">
        <f t="shared" si="5"/>
        <v>208882.47186577227</v>
      </c>
      <c r="D11" s="9">
        <f t="shared" si="6"/>
        <v>87751.98073648756</v>
      </c>
      <c r="E11" s="9">
        <f t="shared" si="1"/>
        <v>121130.49112928472</v>
      </c>
      <c r="F11" s="9" t="b">
        <v>0</v>
      </c>
      <c r="G11" s="24" t="str">
        <f t="shared" si="7"/>
        <v/>
      </c>
      <c r="H11" s="9"/>
      <c r="M11" s="9">
        <f t="shared" si="2"/>
        <v>210802.01686472524</v>
      </c>
      <c r="N11" s="9">
        <f t="shared" si="3"/>
        <v>87751.98073648756</v>
      </c>
      <c r="O11" s="9">
        <f t="shared" si="4"/>
        <v>121130.49112928472</v>
      </c>
      <c r="P11" s="6">
        <f t="shared" si="8"/>
        <v>49220014.451295048</v>
      </c>
      <c r="R11" s="3"/>
    </row>
    <row r="12" spans="1:18" x14ac:dyDescent="0.2">
      <c r="A12" s="3">
        <f t="shared" si="0"/>
        <v>11</v>
      </c>
      <c r="B12" s="6">
        <f t="shared" si="9"/>
        <v>49132262.470558561</v>
      </c>
      <c r="C12" s="9">
        <f t="shared" si="5"/>
        <v>208670.3214621217</v>
      </c>
      <c r="D12" s="9">
        <f t="shared" si="6"/>
        <v>87971.360688328787</v>
      </c>
      <c r="E12" s="9">
        <f t="shared" si="1"/>
        <v>120698.96077379292</v>
      </c>
      <c r="F12" s="9" t="b">
        <v>0</v>
      </c>
      <c r="G12" s="24" t="str">
        <f t="shared" si="7"/>
        <v/>
      </c>
      <c r="H12" s="9"/>
      <c r="M12" s="9">
        <f t="shared" si="2"/>
        <v>210802.01686472524</v>
      </c>
      <c r="N12" s="9">
        <f t="shared" si="3"/>
        <v>87971.360688328787</v>
      </c>
      <c r="O12" s="9">
        <f t="shared" si="4"/>
        <v>120698.96077379292</v>
      </c>
      <c r="P12" s="6">
        <f t="shared" si="8"/>
        <v>49132262.470558561</v>
      </c>
    </row>
    <row r="13" spans="1:18" x14ac:dyDescent="0.2">
      <c r="A13" s="3">
        <f t="shared" si="0"/>
        <v>12</v>
      </c>
      <c r="B13" s="6">
        <f t="shared" si="9"/>
        <v>49044291.109870233</v>
      </c>
      <c r="C13" s="9">
        <f t="shared" si="5"/>
        <v>208458.4136135345</v>
      </c>
      <c r="D13" s="9">
        <f t="shared" si="6"/>
        <v>88191.289090049628</v>
      </c>
      <c r="E13" s="9">
        <f t="shared" si="1"/>
        <v>120267.12452348488</v>
      </c>
      <c r="F13" s="9" t="b">
        <v>0</v>
      </c>
      <c r="G13" s="24" t="str">
        <f t="shared" si="7"/>
        <v/>
      </c>
      <c r="H13" s="9"/>
      <c r="M13" s="9">
        <f t="shared" si="2"/>
        <v>210802.01686472524</v>
      </c>
      <c r="N13" s="9">
        <f t="shared" si="3"/>
        <v>88191.289090049628</v>
      </c>
      <c r="O13" s="9">
        <f t="shared" si="4"/>
        <v>120267.12452348488</v>
      </c>
      <c r="P13" s="6">
        <f t="shared" si="8"/>
        <v>49044291.109870233</v>
      </c>
    </row>
    <row r="14" spans="1:18" x14ac:dyDescent="0.2">
      <c r="A14" s="3">
        <f t="shared" si="0"/>
        <v>13</v>
      </c>
      <c r="B14" s="6">
        <f t="shared" si="9"/>
        <v>48956099.82078018</v>
      </c>
      <c r="C14" s="9">
        <f t="shared" si="5"/>
        <v>208246.75279588447</v>
      </c>
      <c r="D14" s="9">
        <f t="shared" si="6"/>
        <v>88411.76731277474</v>
      </c>
      <c r="E14" s="9">
        <f t="shared" si="1"/>
        <v>119834.98548310973</v>
      </c>
      <c r="F14" s="9" t="b">
        <v>0</v>
      </c>
      <c r="G14" s="24" t="str">
        <f t="shared" si="7"/>
        <v/>
      </c>
      <c r="H14" s="9"/>
      <c r="M14" s="9">
        <f t="shared" si="2"/>
        <v>210802.01686472524</v>
      </c>
      <c r="N14" s="9">
        <f t="shared" si="3"/>
        <v>88411.76731277474</v>
      </c>
      <c r="O14" s="9">
        <f t="shared" si="4"/>
        <v>119834.98548310973</v>
      </c>
      <c r="P14" s="6">
        <f t="shared" si="8"/>
        <v>48956099.82078018</v>
      </c>
    </row>
    <row r="15" spans="1:18" x14ac:dyDescent="0.2">
      <c r="A15" s="3">
        <f t="shared" si="0"/>
        <v>14</v>
      </c>
      <c r="B15" s="6">
        <f t="shared" si="9"/>
        <v>48867688.053467408</v>
      </c>
      <c r="C15" s="9">
        <f t="shared" si="5"/>
        <v>208035.34351560677</v>
      </c>
      <c r="D15" s="9">
        <f t="shared" si="6"/>
        <v>88632.79673105666</v>
      </c>
      <c r="E15" s="9">
        <f t="shared" si="1"/>
        <v>119402.54678455013</v>
      </c>
      <c r="F15" s="9" t="b">
        <v>0</v>
      </c>
      <c r="G15" s="24" t="str">
        <f t="shared" si="7"/>
        <v/>
      </c>
      <c r="H15" s="9"/>
      <c r="M15" s="9">
        <f t="shared" si="2"/>
        <v>210802.01686472524</v>
      </c>
      <c r="N15" s="9">
        <f t="shared" si="3"/>
        <v>88632.79673105666</v>
      </c>
      <c r="O15" s="9">
        <f t="shared" si="4"/>
        <v>119402.54678455013</v>
      </c>
      <c r="P15" s="6">
        <f t="shared" si="8"/>
        <v>48867688.053467408</v>
      </c>
    </row>
    <row r="16" spans="1:18" x14ac:dyDescent="0.2">
      <c r="A16" s="3">
        <f t="shared" si="0"/>
        <v>15</v>
      </c>
      <c r="B16" s="6">
        <f t="shared" si="9"/>
        <v>48779055.256736353</v>
      </c>
      <c r="C16" s="9">
        <f t="shared" si="5"/>
        <v>207824.19030987128</v>
      </c>
      <c r="D16" s="9">
        <f t="shared" si="6"/>
        <v>88854.378722884328</v>
      </c>
      <c r="E16" s="9">
        <f t="shared" si="1"/>
        <v>118969.81158698697</v>
      </c>
      <c r="F16" s="9" t="b">
        <v>0</v>
      </c>
      <c r="G16" s="24" t="str">
        <f t="shared" si="7"/>
        <v/>
      </c>
      <c r="H16" s="9"/>
      <c r="M16" s="9">
        <f t="shared" si="2"/>
        <v>210802.01686472524</v>
      </c>
      <c r="N16" s="9">
        <f t="shared" si="3"/>
        <v>88854.378722884328</v>
      </c>
      <c r="O16" s="9">
        <f t="shared" si="4"/>
        <v>118969.81158698697</v>
      </c>
      <c r="P16" s="6">
        <f t="shared" si="8"/>
        <v>48779055.256736353</v>
      </c>
    </row>
    <row r="17" spans="1:23" x14ac:dyDescent="0.2">
      <c r="A17" s="3">
        <f t="shared" si="0"/>
        <v>16</v>
      </c>
      <c r="B17" s="6">
        <f t="shared" si="9"/>
        <v>48690200.878013469</v>
      </c>
      <c r="C17" s="9">
        <f t="shared" si="5"/>
        <v>207613.29774675675</v>
      </c>
      <c r="D17" s="9">
        <f t="shared" si="6"/>
        <v>89076.514669691533</v>
      </c>
      <c r="E17" s="9">
        <f t="shared" si="1"/>
        <v>118536.78307706521</v>
      </c>
      <c r="F17" s="9" t="b">
        <v>0</v>
      </c>
      <c r="G17" s="24" t="str">
        <f t="shared" si="7"/>
        <v/>
      </c>
      <c r="H17" s="9"/>
      <c r="M17" s="9">
        <f t="shared" si="2"/>
        <v>210802.01686472524</v>
      </c>
      <c r="N17" s="9">
        <f t="shared" si="3"/>
        <v>89076.514669691533</v>
      </c>
      <c r="O17" s="9">
        <f t="shared" si="4"/>
        <v>118536.78307706521</v>
      </c>
      <c r="P17" s="6">
        <f t="shared" si="8"/>
        <v>48690200.878013469</v>
      </c>
    </row>
    <row r="18" spans="1:23" x14ac:dyDescent="0.2">
      <c r="A18" s="3">
        <f t="shared" si="0"/>
        <v>17</v>
      </c>
      <c r="B18" s="6">
        <f t="shared" si="9"/>
        <v>48601124.363343775</v>
      </c>
      <c r="C18" s="9">
        <f t="shared" si="5"/>
        <v>207402.67042542621</v>
      </c>
      <c r="D18" s="9">
        <f t="shared" si="6"/>
        <v>89299.205956365753</v>
      </c>
      <c r="E18" s="9">
        <f t="shared" si="1"/>
        <v>118103.46446906045</v>
      </c>
      <c r="F18" s="9" t="b">
        <v>0</v>
      </c>
      <c r="G18" s="24" t="str">
        <f t="shared" si="7"/>
        <v/>
      </c>
      <c r="H18" s="9"/>
      <c r="M18" s="9">
        <f t="shared" si="2"/>
        <v>210802.01686472524</v>
      </c>
      <c r="N18" s="9">
        <f t="shared" si="3"/>
        <v>89299.205956365753</v>
      </c>
      <c r="O18" s="9">
        <f t="shared" si="4"/>
        <v>118103.46446906045</v>
      </c>
      <c r="P18" s="6">
        <f t="shared" si="8"/>
        <v>48601124.363343775</v>
      </c>
    </row>
    <row r="19" spans="1:23" x14ac:dyDescent="0.2">
      <c r="A19" s="3">
        <f t="shared" si="0"/>
        <v>18</v>
      </c>
      <c r="B19" s="6">
        <f t="shared" si="9"/>
        <v>48511825.157387413</v>
      </c>
      <c r="C19" s="9">
        <f t="shared" si="5"/>
        <v>207192.31297630302</v>
      </c>
      <c r="D19" s="9">
        <f t="shared" si="6"/>
        <v>89522.453971256677</v>
      </c>
      <c r="E19" s="9">
        <f t="shared" si="1"/>
        <v>117669.85900504634</v>
      </c>
      <c r="F19" s="9" t="b">
        <v>0</v>
      </c>
      <c r="G19" s="24" t="str">
        <f t="shared" si="7"/>
        <v/>
      </c>
      <c r="H19" s="9"/>
      <c r="M19" s="9">
        <f t="shared" si="2"/>
        <v>210802.01686472524</v>
      </c>
      <c r="N19" s="9">
        <f t="shared" si="3"/>
        <v>89522.453971256677</v>
      </c>
      <c r="O19" s="9">
        <f t="shared" si="4"/>
        <v>117669.85900504634</v>
      </c>
      <c r="P19" s="6">
        <f t="shared" si="8"/>
        <v>48511825.157387413</v>
      </c>
    </row>
    <row r="20" spans="1:23" x14ac:dyDescent="0.2">
      <c r="A20" s="3">
        <f t="shared" si="0"/>
        <v>19</v>
      </c>
      <c r="B20" s="6">
        <f t="shared" si="9"/>
        <v>48422302.703416154</v>
      </c>
      <c r="C20" s="9">
        <f t="shared" si="5"/>
        <v>206982.230061248</v>
      </c>
      <c r="D20" s="9">
        <f t="shared" si="6"/>
        <v>89746.260106184796</v>
      </c>
      <c r="E20" s="9">
        <f t="shared" si="1"/>
        <v>117235.96995506322</v>
      </c>
      <c r="F20" s="9" t="b">
        <v>0</v>
      </c>
      <c r="G20" s="24" t="str">
        <f t="shared" si="7"/>
        <v/>
      </c>
      <c r="H20" s="9"/>
      <c r="M20" s="9">
        <f t="shared" si="2"/>
        <v>210802.01686472524</v>
      </c>
      <c r="N20" s="9">
        <f t="shared" si="3"/>
        <v>89746.260106184796</v>
      </c>
      <c r="O20" s="9">
        <f t="shared" si="4"/>
        <v>117235.96995506322</v>
      </c>
      <c r="P20" s="6">
        <f t="shared" si="8"/>
        <v>48422302.703416154</v>
      </c>
    </row>
    <row r="21" spans="1:23" x14ac:dyDescent="0.2">
      <c r="A21" s="3">
        <f t="shared" si="0"/>
        <v>20</v>
      </c>
      <c r="B21" s="6">
        <f t="shared" si="9"/>
        <v>48332556.44330997</v>
      </c>
      <c r="C21" s="9">
        <f t="shared" si="5"/>
        <v>206772.42637373751</v>
      </c>
      <c r="D21" s="9">
        <f t="shared" si="6"/>
        <v>89970.625756450259</v>
      </c>
      <c r="E21" s="9">
        <f t="shared" si="1"/>
        <v>116801.80061728726</v>
      </c>
      <c r="F21" s="9" t="b">
        <v>0</v>
      </c>
      <c r="G21" s="24" t="str">
        <f t="shared" si="7"/>
        <v/>
      </c>
      <c r="H21" s="9"/>
      <c r="M21" s="9">
        <f t="shared" si="2"/>
        <v>210802.01686472524</v>
      </c>
      <c r="N21" s="9">
        <f t="shared" si="3"/>
        <v>89970.625756450259</v>
      </c>
      <c r="O21" s="9">
        <f t="shared" si="4"/>
        <v>116801.80061728726</v>
      </c>
      <c r="P21" s="6">
        <f t="shared" si="8"/>
        <v>48332556.44330997</v>
      </c>
    </row>
    <row r="22" spans="1:23" x14ac:dyDescent="0.2">
      <c r="A22" s="3">
        <f t="shared" si="0"/>
        <v>21</v>
      </c>
      <c r="B22" s="6">
        <f t="shared" si="9"/>
        <v>48242585.81755352</v>
      </c>
      <c r="C22" s="9">
        <f t="shared" si="5"/>
        <v>206562.90663904225</v>
      </c>
      <c r="D22" s="9">
        <f t="shared" si="6"/>
        <v>90195.552320841409</v>
      </c>
      <c r="E22" s="9">
        <f t="shared" si="1"/>
        <v>116367.35431820086</v>
      </c>
      <c r="F22" s="9" t="b">
        <v>0</v>
      </c>
      <c r="G22" s="24" t="str">
        <f t="shared" si="7"/>
        <v/>
      </c>
      <c r="H22" s="9"/>
      <c r="M22" s="9">
        <f t="shared" si="2"/>
        <v>210802.01686472524</v>
      </c>
      <c r="N22" s="9">
        <f t="shared" si="3"/>
        <v>90195.552320841409</v>
      </c>
      <c r="O22" s="9">
        <f t="shared" si="4"/>
        <v>116367.35431820086</v>
      </c>
      <c r="P22" s="6">
        <f t="shared" si="8"/>
        <v>48242585.81755352</v>
      </c>
    </row>
    <row r="23" spans="1:23" x14ac:dyDescent="0.2">
      <c r="A23" s="3">
        <f t="shared" si="0"/>
        <v>22</v>
      </c>
      <c r="B23" s="6">
        <f t="shared" si="9"/>
        <v>48152390.265232682</v>
      </c>
      <c r="C23" s="9">
        <f t="shared" si="5"/>
        <v>206353.67561440729</v>
      </c>
      <c r="D23" s="9">
        <f t="shared" si="6"/>
        <v>90421.041201643515</v>
      </c>
      <c r="E23" s="9">
        <f t="shared" si="1"/>
        <v>115932.63441276377</v>
      </c>
      <c r="F23" s="9" t="b">
        <v>0</v>
      </c>
      <c r="G23" s="24" t="str">
        <f t="shared" si="7"/>
        <v/>
      </c>
      <c r="H23" s="9"/>
      <c r="M23" s="9">
        <f t="shared" si="2"/>
        <v>210802.01686472524</v>
      </c>
      <c r="N23" s="9">
        <f t="shared" si="3"/>
        <v>90421.041201643515</v>
      </c>
      <c r="O23" s="9">
        <f t="shared" si="4"/>
        <v>115932.63441276377</v>
      </c>
      <c r="P23" s="6">
        <f t="shared" si="8"/>
        <v>48152390.265232682</v>
      </c>
    </row>
    <row r="24" spans="1:23" x14ac:dyDescent="0.2">
      <c r="A24" s="3">
        <f t="shared" si="0"/>
        <v>23</v>
      </c>
      <c r="B24" s="6">
        <f t="shared" si="9"/>
        <v>48061969.224031039</v>
      </c>
      <c r="C24" s="9">
        <f t="shared" si="5"/>
        <v>206144.73808923294</v>
      </c>
      <c r="D24" s="9">
        <f t="shared" si="6"/>
        <v>90647.093804647608</v>
      </c>
      <c r="E24" s="9">
        <f t="shared" si="1"/>
        <v>115497.64428458535</v>
      </c>
      <c r="F24" s="9" t="b">
        <v>0</v>
      </c>
      <c r="G24" s="24" t="str">
        <f t="shared" si="7"/>
        <v/>
      </c>
      <c r="H24" s="9"/>
      <c r="M24" s="9">
        <f t="shared" si="2"/>
        <v>210802.01686472524</v>
      </c>
      <c r="N24" s="9">
        <f t="shared" si="3"/>
        <v>90647.093804647608</v>
      </c>
      <c r="O24" s="9">
        <f t="shared" si="4"/>
        <v>115497.64428458535</v>
      </c>
      <c r="P24" s="6">
        <f t="shared" si="8"/>
        <v>48061969.224031039</v>
      </c>
    </row>
    <row r="25" spans="1:23" x14ac:dyDescent="0.2">
      <c r="A25" s="3">
        <f t="shared" si="0"/>
        <v>24</v>
      </c>
      <c r="B25" s="6">
        <f t="shared" si="9"/>
        <v>47971322.130226389</v>
      </c>
      <c r="C25" s="9">
        <f t="shared" si="5"/>
        <v>205936.09888525668</v>
      </c>
      <c r="D25" s="9">
        <f t="shared" si="6"/>
        <v>90873.711539159238</v>
      </c>
      <c r="E25" s="9">
        <f t="shared" si="1"/>
        <v>115062.38734609746</v>
      </c>
      <c r="F25" s="9" t="b">
        <v>0</v>
      </c>
      <c r="G25" s="24" t="str">
        <f t="shared" si="7"/>
        <v/>
      </c>
      <c r="H25" s="9"/>
      <c r="M25" s="9">
        <f t="shared" si="2"/>
        <v>210802.01686472524</v>
      </c>
      <c r="N25" s="9">
        <f t="shared" si="3"/>
        <v>90873.711539159238</v>
      </c>
      <c r="O25" s="9">
        <f t="shared" si="4"/>
        <v>115062.38734609746</v>
      </c>
      <c r="P25" s="6">
        <f t="shared" si="8"/>
        <v>47971322.130226389</v>
      </c>
    </row>
    <row r="26" spans="1:23" x14ac:dyDescent="0.2">
      <c r="A26" s="3">
        <f t="shared" si="0"/>
        <v>25</v>
      </c>
      <c r="B26" s="6">
        <f t="shared" si="9"/>
        <v>47880448.418687232</v>
      </c>
      <c r="C26" s="9">
        <f t="shared" si="5"/>
        <v>205727.76285673559</v>
      </c>
      <c r="D26" s="9">
        <f t="shared" si="6"/>
        <v>91100.89581800712</v>
      </c>
      <c r="E26" s="9">
        <f t="shared" si="1"/>
        <v>114626.86703872847</v>
      </c>
      <c r="F26" s="9" t="b">
        <v>0</v>
      </c>
      <c r="G26" s="24" t="str">
        <f t="shared" si="7"/>
        <v/>
      </c>
      <c r="H26" s="9"/>
      <c r="M26" s="9">
        <f t="shared" si="2"/>
        <v>210802.01686472524</v>
      </c>
      <c r="N26" s="9">
        <f t="shared" si="3"/>
        <v>91100.89581800712</v>
      </c>
      <c r="O26" s="9">
        <f t="shared" si="4"/>
        <v>114626.86703872847</v>
      </c>
      <c r="P26" s="6">
        <f t="shared" si="8"/>
        <v>47880448.418687232</v>
      </c>
    </row>
    <row r="27" spans="1:23" x14ac:dyDescent="0.2">
      <c r="A27" s="3">
        <f t="shared" si="0"/>
        <v>26</v>
      </c>
      <c r="B27" s="6">
        <f t="shared" si="9"/>
        <v>47789347.522869222</v>
      </c>
      <c r="C27" s="9">
        <f t="shared" si="5"/>
        <v>205519.73489063047</v>
      </c>
      <c r="D27" s="9">
        <f t="shared" si="6"/>
        <v>91328.648057552127</v>
      </c>
      <c r="E27" s="9">
        <f t="shared" si="1"/>
        <v>114191.08683307834</v>
      </c>
      <c r="F27" s="9" t="b">
        <v>0</v>
      </c>
      <c r="G27" s="24" t="str">
        <f t="shared" si="7"/>
        <v/>
      </c>
      <c r="H27" s="9"/>
      <c r="M27" s="9">
        <f t="shared" si="2"/>
        <v>210802.01686472524</v>
      </c>
      <c r="N27" s="9">
        <f t="shared" si="3"/>
        <v>91328.648057552127</v>
      </c>
      <c r="O27" s="9">
        <f t="shared" si="4"/>
        <v>114191.08683307834</v>
      </c>
      <c r="P27" s="6">
        <f t="shared" si="8"/>
        <v>47789347.522869222</v>
      </c>
      <c r="W27" t="s">
        <v>7</v>
      </c>
    </row>
    <row r="28" spans="1:23" x14ac:dyDescent="0.2">
      <c r="A28" s="3">
        <f t="shared" si="0"/>
        <v>27</v>
      </c>
      <c r="B28" s="6">
        <f t="shared" si="9"/>
        <v>47698018.874811672</v>
      </c>
      <c r="C28" s="9">
        <f t="shared" si="5"/>
        <v>205312.01990679058</v>
      </c>
      <c r="D28" s="9">
        <f t="shared" si="6"/>
        <v>91556.969677696019</v>
      </c>
      <c r="E28" s="9">
        <f t="shared" si="1"/>
        <v>113755.05022909456</v>
      </c>
      <c r="F28" s="9" t="b">
        <v>0</v>
      </c>
      <c r="G28" s="24" t="str">
        <f t="shared" si="7"/>
        <v/>
      </c>
      <c r="H28" s="9"/>
      <c r="M28" s="9">
        <f t="shared" si="2"/>
        <v>210802.01686472524</v>
      </c>
      <c r="N28" s="9">
        <f t="shared" si="3"/>
        <v>91556.969677696019</v>
      </c>
      <c r="O28" s="9">
        <f t="shared" si="4"/>
        <v>113755.05022909456</v>
      </c>
      <c r="P28" s="6">
        <f t="shared" si="8"/>
        <v>47698018.874811672</v>
      </c>
    </row>
    <row r="29" spans="1:23" x14ac:dyDescent="0.2">
      <c r="A29" s="3">
        <f t="shared" si="0"/>
        <v>28</v>
      </c>
      <c r="B29" s="6">
        <f t="shared" si="9"/>
        <v>47606461.905133978</v>
      </c>
      <c r="C29" s="9">
        <f t="shared" si="5"/>
        <v>205104.62285813893</v>
      </c>
      <c r="D29" s="9">
        <f t="shared" si="6"/>
        <v>91785.862101890263</v>
      </c>
      <c r="E29" s="9">
        <f t="shared" si="1"/>
        <v>113318.76075624867</v>
      </c>
      <c r="F29" s="9" t="b">
        <v>0</v>
      </c>
      <c r="G29" s="24" t="str">
        <f t="shared" si="7"/>
        <v/>
      </c>
      <c r="H29" s="9"/>
      <c r="M29" s="9">
        <f t="shared" si="2"/>
        <v>210802.01686472524</v>
      </c>
      <c r="N29" s="9">
        <f t="shared" si="3"/>
        <v>91785.862101890263</v>
      </c>
      <c r="O29" s="9">
        <f t="shared" si="4"/>
        <v>113318.76075624867</v>
      </c>
      <c r="P29" s="6">
        <f t="shared" si="8"/>
        <v>47606461.905133978</v>
      </c>
    </row>
    <row r="30" spans="1:23" x14ac:dyDescent="0.2">
      <c r="A30" s="3">
        <f t="shared" si="0"/>
        <v>29</v>
      </c>
      <c r="B30" s="6">
        <f t="shared" si="9"/>
        <v>47514676.043032087</v>
      </c>
      <c r="C30" s="9">
        <f t="shared" si="5"/>
        <v>204897.54873085939</v>
      </c>
      <c r="D30" s="9">
        <f t="shared" si="6"/>
        <v>92015.326757144983</v>
      </c>
      <c r="E30" s="9">
        <f t="shared" si="1"/>
        <v>112882.2219737144</v>
      </c>
      <c r="F30" s="9" t="b">
        <v>0</v>
      </c>
      <c r="G30" s="24" t="str">
        <f t="shared" si="7"/>
        <v/>
      </c>
      <c r="H30" s="9"/>
      <c r="M30" s="9">
        <f t="shared" si="2"/>
        <v>210802.01686472524</v>
      </c>
      <c r="N30" s="9">
        <f t="shared" si="3"/>
        <v>92015.326757144983</v>
      </c>
      <c r="O30" s="9">
        <f t="shared" si="4"/>
        <v>112882.2219737144</v>
      </c>
      <c r="P30" s="6">
        <f t="shared" si="8"/>
        <v>47514676.043032087</v>
      </c>
    </row>
    <row r="31" spans="1:23" x14ac:dyDescent="0.2">
      <c r="A31" s="3">
        <f t="shared" si="0"/>
        <v>30</v>
      </c>
      <c r="B31" s="6">
        <f t="shared" si="9"/>
        <v>47422660.716274939</v>
      </c>
      <c r="C31" s="9">
        <f t="shared" si="5"/>
        <v>204690.80254458421</v>
      </c>
      <c r="D31" s="9">
        <f t="shared" si="6"/>
        <v>92245.365074037851</v>
      </c>
      <c r="E31" s="9">
        <f t="shared" si="1"/>
        <v>112445.43747054634</v>
      </c>
      <c r="F31" s="9" t="b">
        <v>0</v>
      </c>
      <c r="G31" s="24" t="str">
        <f t="shared" si="7"/>
        <v/>
      </c>
      <c r="H31" s="9"/>
      <c r="M31" s="9">
        <f t="shared" si="2"/>
        <v>210802.01686472524</v>
      </c>
      <c r="N31" s="9">
        <f t="shared" si="3"/>
        <v>92245.365074037851</v>
      </c>
      <c r="O31" s="9">
        <f t="shared" si="4"/>
        <v>112445.43747054634</v>
      </c>
      <c r="P31" s="6">
        <f t="shared" si="8"/>
        <v>47422660.716274939</v>
      </c>
    </row>
    <row r="32" spans="1:23" x14ac:dyDescent="0.2">
      <c r="A32" s="3">
        <f t="shared" si="0"/>
        <v>31</v>
      </c>
      <c r="B32" s="6">
        <f t="shared" si="9"/>
        <v>47330415.351200901</v>
      </c>
      <c r="C32" s="9">
        <f t="shared" si="5"/>
        <v>204484.38935258269</v>
      </c>
      <c r="D32" s="9">
        <f t="shared" si="6"/>
        <v>92475.978486722946</v>
      </c>
      <c r="E32" s="9">
        <f t="shared" si="1"/>
        <v>112008.41086585974</v>
      </c>
      <c r="F32" s="9" t="b">
        <v>0</v>
      </c>
      <c r="G32" s="24" t="str">
        <f t="shared" si="7"/>
        <v/>
      </c>
      <c r="H32" s="9"/>
      <c r="M32" s="9">
        <f t="shared" si="2"/>
        <v>210802.01686472524</v>
      </c>
      <c r="N32" s="9">
        <f t="shared" si="3"/>
        <v>92475.978486722946</v>
      </c>
      <c r="O32" s="9">
        <f t="shared" si="4"/>
        <v>112008.41086585974</v>
      </c>
      <c r="P32" s="6">
        <f t="shared" si="8"/>
        <v>47330415.351200901</v>
      </c>
    </row>
    <row r="33" spans="1:16" x14ac:dyDescent="0.2">
      <c r="A33" s="3">
        <f t="shared" si="0"/>
        <v>32</v>
      </c>
      <c r="B33" s="6">
        <f t="shared" si="9"/>
        <v>47237939.372714177</v>
      </c>
      <c r="C33" s="9">
        <f t="shared" si="5"/>
        <v>204278.31424195081</v>
      </c>
      <c r="D33" s="9">
        <f t="shared" si="6"/>
        <v>92707.168432939739</v>
      </c>
      <c r="E33" s="9">
        <f t="shared" si="1"/>
        <v>111571.14580901105</v>
      </c>
      <c r="F33" s="9" t="b">
        <v>0</v>
      </c>
      <c r="G33" s="24" t="str">
        <f t="shared" si="7"/>
        <v/>
      </c>
      <c r="H33" s="9"/>
      <c r="M33" s="9">
        <f t="shared" si="2"/>
        <v>210802.01686472524</v>
      </c>
      <c r="N33" s="9">
        <f t="shared" si="3"/>
        <v>92707.168432939739</v>
      </c>
      <c r="O33" s="9">
        <f t="shared" si="4"/>
        <v>111571.14580901105</v>
      </c>
      <c r="P33" s="6">
        <f t="shared" si="8"/>
        <v>47237939.372714177</v>
      </c>
    </row>
    <row r="34" spans="1:16" x14ac:dyDescent="0.2">
      <c r="A34" s="3">
        <f t="shared" si="0"/>
        <v>33</v>
      </c>
      <c r="B34" s="6">
        <f t="shared" si="9"/>
        <v>47145232.204281241</v>
      </c>
      <c r="C34" s="9">
        <f t="shared" si="5"/>
        <v>204072.58233380201</v>
      </c>
      <c r="D34" s="9">
        <f t="shared" si="6"/>
        <v>92938.936354022109</v>
      </c>
      <c r="E34" s="9">
        <f t="shared" si="1"/>
        <v>111133.64597977989</v>
      </c>
      <c r="F34" s="9" t="b">
        <v>0</v>
      </c>
      <c r="G34" s="24" t="str">
        <f t="shared" si="7"/>
        <v/>
      </c>
      <c r="H34" s="9"/>
      <c r="M34" s="9">
        <f t="shared" si="2"/>
        <v>210802.01686472524</v>
      </c>
      <c r="N34" s="9">
        <f t="shared" si="3"/>
        <v>92938.936354022109</v>
      </c>
      <c r="O34" s="9">
        <f t="shared" si="4"/>
        <v>111133.64597977989</v>
      </c>
      <c r="P34" s="6">
        <f t="shared" si="8"/>
        <v>47145232.204281241</v>
      </c>
    </row>
    <row r="35" spans="1:16" x14ac:dyDescent="0.2">
      <c r="A35" s="3">
        <f t="shared" si="0"/>
        <v>34</v>
      </c>
      <c r="B35" s="6">
        <f t="shared" si="9"/>
        <v>47052293.267927222</v>
      </c>
      <c r="C35" s="9">
        <f t="shared" si="5"/>
        <v>203867.19878345862</v>
      </c>
      <c r="D35" s="9">
        <f t="shared" si="6"/>
        <v>93171.283694907164</v>
      </c>
      <c r="E35" s="9">
        <f t="shared" si="1"/>
        <v>110695.91508855147</v>
      </c>
      <c r="F35" s="9" t="b">
        <v>0</v>
      </c>
      <c r="G35" s="24" t="str">
        <f t="shared" si="7"/>
        <v/>
      </c>
      <c r="H35" s="9"/>
      <c r="M35" s="9">
        <f t="shared" si="2"/>
        <v>210802.01686472524</v>
      </c>
      <c r="N35" s="9">
        <f t="shared" si="3"/>
        <v>93171.283694907164</v>
      </c>
      <c r="O35" s="9">
        <f t="shared" si="4"/>
        <v>110695.91508855147</v>
      </c>
      <c r="P35" s="6">
        <f t="shared" si="8"/>
        <v>47052293.267927222</v>
      </c>
    </row>
    <row r="36" spans="1:16" x14ac:dyDescent="0.2">
      <c r="A36" s="3">
        <f t="shared" si="0"/>
        <v>35</v>
      </c>
      <c r="B36" s="6">
        <f t="shared" si="9"/>
        <v>46959121.984232314</v>
      </c>
      <c r="C36" s="9">
        <f t="shared" si="5"/>
        <v>203662.16878064501</v>
      </c>
      <c r="D36" s="9">
        <f t="shared" si="6"/>
        <v>93404.211904144438</v>
      </c>
      <c r="E36" s="9">
        <f t="shared" si="1"/>
        <v>110257.95687650057</v>
      </c>
      <c r="F36" s="9" t="b">
        <v>0</v>
      </c>
      <c r="G36" s="24" t="str">
        <f t="shared" si="7"/>
        <v/>
      </c>
      <c r="H36" s="9"/>
      <c r="M36" s="9">
        <f t="shared" si="2"/>
        <v>210802.01686472524</v>
      </c>
      <c r="N36" s="9">
        <f t="shared" si="3"/>
        <v>93404.211904144438</v>
      </c>
      <c r="O36" s="9">
        <f t="shared" si="4"/>
        <v>110257.95687650057</v>
      </c>
      <c r="P36" s="6">
        <f t="shared" si="8"/>
        <v>46959121.984232314</v>
      </c>
    </row>
    <row r="37" spans="1:16" x14ac:dyDescent="0.2">
      <c r="A37" s="3">
        <f t="shared" si="0"/>
        <v>36</v>
      </c>
      <c r="B37" s="6">
        <f t="shared" si="9"/>
        <v>46865717.772328168</v>
      </c>
      <c r="C37" s="9">
        <f t="shared" si="5"/>
        <v>203457.49754968059</v>
      </c>
      <c r="D37" s="9">
        <f t="shared" si="6"/>
        <v>93637.722433904783</v>
      </c>
      <c r="E37" s="9">
        <f t="shared" si="1"/>
        <v>109819.77511577582</v>
      </c>
      <c r="F37" s="9" t="b">
        <v>0</v>
      </c>
      <c r="G37" s="24" t="str">
        <f t="shared" si="7"/>
        <v/>
      </c>
      <c r="H37" s="9"/>
      <c r="M37" s="9">
        <f t="shared" si="2"/>
        <v>210802.01686472524</v>
      </c>
      <c r="N37" s="9">
        <f t="shared" si="3"/>
        <v>93637.722433904783</v>
      </c>
      <c r="O37" s="9">
        <f t="shared" si="4"/>
        <v>109819.77511577582</v>
      </c>
      <c r="P37" s="6">
        <f t="shared" si="8"/>
        <v>46865717.772328168</v>
      </c>
    </row>
    <row r="38" spans="1:16" x14ac:dyDescent="0.2">
      <c r="A38" s="3">
        <f t="shared" si="0"/>
        <v>37</v>
      </c>
      <c r="B38" s="6">
        <f t="shared" si="9"/>
        <v>46772080.049894266</v>
      </c>
      <c r="C38" s="9">
        <f t="shared" si="5"/>
        <v>203253.19034967545</v>
      </c>
      <c r="D38" s="9">
        <f t="shared" si="6"/>
        <v>93871.816739989546</v>
      </c>
      <c r="E38" s="9">
        <f t="shared" si="1"/>
        <v>109381.37360968591</v>
      </c>
      <c r="F38" s="9" t="b">
        <v>0</v>
      </c>
      <c r="G38" s="24" t="str">
        <f t="shared" si="7"/>
        <v/>
      </c>
      <c r="H38" s="9"/>
      <c r="M38" s="9">
        <f t="shared" si="2"/>
        <v>210802.01686472524</v>
      </c>
      <c r="N38" s="9">
        <f t="shared" si="3"/>
        <v>93871.816739989546</v>
      </c>
      <c r="O38" s="9">
        <f t="shared" si="4"/>
        <v>109381.37360968591</v>
      </c>
      <c r="P38" s="6">
        <f t="shared" si="8"/>
        <v>46772080.049894266</v>
      </c>
    </row>
    <row r="39" spans="1:16" x14ac:dyDescent="0.2">
      <c r="A39" s="3">
        <f t="shared" si="0"/>
        <v>38</v>
      </c>
      <c r="B39" s="6">
        <f t="shared" si="9"/>
        <v>46678208.233154275</v>
      </c>
      <c r="C39" s="9">
        <f t="shared" si="5"/>
        <v>203049.25247472513</v>
      </c>
      <c r="D39" s="9">
        <f t="shared" si="6"/>
        <v>94106.496281839514</v>
      </c>
      <c r="E39" s="9">
        <f t="shared" si="1"/>
        <v>108942.7561928856</v>
      </c>
      <c r="F39" s="9" t="b">
        <v>0</v>
      </c>
      <c r="G39" s="24" t="str">
        <f t="shared" si="7"/>
        <v/>
      </c>
      <c r="H39" s="9"/>
      <c r="M39" s="9">
        <f t="shared" si="2"/>
        <v>210802.01686472524</v>
      </c>
      <c r="N39" s="9">
        <f t="shared" si="3"/>
        <v>94106.496281839514</v>
      </c>
      <c r="O39" s="9">
        <f t="shared" si="4"/>
        <v>108942.7561928856</v>
      </c>
      <c r="P39" s="6">
        <f t="shared" si="8"/>
        <v>46678208.233154275</v>
      </c>
    </row>
    <row r="40" spans="1:16" x14ac:dyDescent="0.2">
      <c r="A40" s="3">
        <f t="shared" si="0"/>
        <v>39</v>
      </c>
      <c r="B40" s="6">
        <f t="shared" si="9"/>
        <v>46584101.736872435</v>
      </c>
      <c r="C40" s="9">
        <f t="shared" si="5"/>
        <v>202845.68925410823</v>
      </c>
      <c r="D40" s="9">
        <f t="shared" si="6"/>
        <v>94341.762522544115</v>
      </c>
      <c r="E40" s="9">
        <f t="shared" si="1"/>
        <v>108503.9267315641</v>
      </c>
      <c r="F40" s="9" t="b">
        <v>0</v>
      </c>
      <c r="G40" s="24" t="str">
        <f t="shared" si="7"/>
        <v/>
      </c>
      <c r="H40" s="9"/>
      <c r="M40" s="9">
        <f t="shared" si="2"/>
        <v>210802.01686472524</v>
      </c>
      <c r="N40" s="9">
        <f t="shared" si="3"/>
        <v>94341.762522544115</v>
      </c>
      <c r="O40" s="9">
        <f t="shared" si="4"/>
        <v>108503.9267315641</v>
      </c>
      <c r="P40" s="6">
        <f t="shared" si="8"/>
        <v>46584101.736872435</v>
      </c>
    </row>
    <row r="41" spans="1:16" x14ac:dyDescent="0.2">
      <c r="A41" s="3">
        <f t="shared" si="0"/>
        <v>40</v>
      </c>
      <c r="B41" s="6">
        <f t="shared" si="9"/>
        <v>46489759.974349894</v>
      </c>
      <c r="C41" s="9">
        <f t="shared" si="5"/>
        <v>202642.5060524838</v>
      </c>
      <c r="D41" s="9">
        <f t="shared" si="6"/>
        <v>94577.61692885049</v>
      </c>
      <c r="E41" s="9">
        <f t="shared" si="1"/>
        <v>108064.8891236333</v>
      </c>
      <c r="F41" s="9" t="b">
        <v>0</v>
      </c>
      <c r="G41" s="24" t="str">
        <f t="shared" si="7"/>
        <v/>
      </c>
      <c r="H41" s="9"/>
      <c r="M41" s="9">
        <f t="shared" si="2"/>
        <v>210802.01686472524</v>
      </c>
      <c r="N41" s="9">
        <f t="shared" si="3"/>
        <v>94577.61692885049</v>
      </c>
      <c r="O41" s="9">
        <f t="shared" si="4"/>
        <v>108064.8891236333</v>
      </c>
      <c r="P41" s="6">
        <f t="shared" si="8"/>
        <v>46489759.974349894</v>
      </c>
    </row>
    <row r="42" spans="1:16" x14ac:dyDescent="0.2">
      <c r="A42" s="3">
        <f t="shared" si="0"/>
        <v>41</v>
      </c>
      <c r="B42" s="6">
        <f t="shared" si="9"/>
        <v>46395182.357421041</v>
      </c>
      <c r="C42" s="9">
        <f t="shared" si="5"/>
        <v>202439.70827009028</v>
      </c>
      <c r="D42" s="9">
        <f t="shared" si="6"/>
        <v>94814.060971172628</v>
      </c>
      <c r="E42" s="9">
        <f t="shared" si="1"/>
        <v>107625.64729891765</v>
      </c>
      <c r="F42" s="9" t="b">
        <v>0</v>
      </c>
      <c r="G42" s="24" t="str">
        <f t="shared" si="7"/>
        <v/>
      </c>
      <c r="H42" s="9"/>
      <c r="M42" s="9">
        <f t="shared" si="2"/>
        <v>210802.01686472524</v>
      </c>
      <c r="N42" s="9">
        <f t="shared" si="3"/>
        <v>94814.060971172628</v>
      </c>
      <c r="O42" s="9">
        <f t="shared" si="4"/>
        <v>107625.64729891765</v>
      </c>
      <c r="P42" s="6">
        <f t="shared" si="8"/>
        <v>46395182.357421041</v>
      </c>
    </row>
    <row r="43" spans="1:16" x14ac:dyDescent="0.2">
      <c r="A43" s="3">
        <f t="shared" si="0"/>
        <v>42</v>
      </c>
      <c r="B43" s="6">
        <f t="shared" si="9"/>
        <v>46300368.29644987</v>
      </c>
      <c r="C43" s="9">
        <f t="shared" si="5"/>
        <v>202237.3013429456</v>
      </c>
      <c r="D43" s="9">
        <f t="shared" si="6"/>
        <v>95051.096123600553</v>
      </c>
      <c r="E43" s="9">
        <f t="shared" si="1"/>
        <v>107186.20521934504</v>
      </c>
      <c r="F43" s="9" t="b">
        <v>0</v>
      </c>
      <c r="G43" s="24" t="str">
        <f t="shared" si="7"/>
        <v/>
      </c>
      <c r="H43" s="9"/>
      <c r="M43" s="9">
        <f t="shared" si="2"/>
        <v>210802.01686472524</v>
      </c>
      <c r="N43" s="9">
        <f t="shared" si="3"/>
        <v>95051.096123600553</v>
      </c>
      <c r="O43" s="9">
        <f t="shared" si="4"/>
        <v>107186.20521934504</v>
      </c>
      <c r="P43" s="6">
        <f t="shared" si="8"/>
        <v>46300368.29644987</v>
      </c>
    </row>
    <row r="44" spans="1:16" x14ac:dyDescent="0.2">
      <c r="A44" s="3">
        <f t="shared" si="0"/>
        <v>43</v>
      </c>
      <c r="B44" s="6">
        <f t="shared" si="9"/>
        <v>46205317.200326271</v>
      </c>
      <c r="C44" s="9">
        <f t="shared" si="5"/>
        <v>202035.2907430479</v>
      </c>
      <c r="D44" s="9">
        <f t="shared" si="6"/>
        <v>95288.723863909545</v>
      </c>
      <c r="E44" s="9">
        <f t="shared" si="1"/>
        <v>106746.56687913837</v>
      </c>
      <c r="F44" s="9" t="b">
        <v>0</v>
      </c>
      <c r="G44" s="24" t="str">
        <f t="shared" si="7"/>
        <v/>
      </c>
      <c r="H44" s="9"/>
      <c r="M44" s="9">
        <f t="shared" si="2"/>
        <v>210802.01686472524</v>
      </c>
      <c r="N44" s="9">
        <f t="shared" si="3"/>
        <v>95288.723863909545</v>
      </c>
      <c r="O44" s="9">
        <f t="shared" si="4"/>
        <v>106746.56687913837</v>
      </c>
      <c r="P44" s="6">
        <f t="shared" si="8"/>
        <v>46205317.200326271</v>
      </c>
    </row>
    <row r="45" spans="1:16" x14ac:dyDescent="0.2">
      <c r="A45" s="3">
        <f t="shared" si="0"/>
        <v>44</v>
      </c>
      <c r="B45" s="6">
        <f t="shared" si="9"/>
        <v>46110028.476462364</v>
      </c>
      <c r="C45" s="9">
        <f t="shared" si="5"/>
        <v>201833.68197857786</v>
      </c>
      <c r="D45" s="9">
        <f t="shared" si="6"/>
        <v>95526.945673569309</v>
      </c>
      <c r="E45" s="9">
        <f t="shared" si="1"/>
        <v>106306.73630500856</v>
      </c>
      <c r="F45" s="9" t="b">
        <v>0</v>
      </c>
      <c r="G45" s="24" t="str">
        <f t="shared" si="7"/>
        <v/>
      </c>
      <c r="H45" s="9"/>
      <c r="M45" s="9">
        <f t="shared" si="2"/>
        <v>210802.01686472524</v>
      </c>
      <c r="N45" s="9">
        <f t="shared" si="3"/>
        <v>95526.945673569309</v>
      </c>
      <c r="O45" s="9">
        <f t="shared" si="4"/>
        <v>106306.73630500856</v>
      </c>
      <c r="P45" s="6">
        <f t="shared" si="8"/>
        <v>46110028.476462364</v>
      </c>
    </row>
    <row r="46" spans="1:16" x14ac:dyDescent="0.2">
      <c r="A46" s="3">
        <f t="shared" si="0"/>
        <v>45</v>
      </c>
      <c r="B46" s="6">
        <f t="shared" si="9"/>
        <v>46014501.530788794</v>
      </c>
      <c r="C46" s="9">
        <f t="shared" si="5"/>
        <v>201632.48059410148</v>
      </c>
      <c r="D46" s="9">
        <f t="shared" si="6"/>
        <v>95765.763037753233</v>
      </c>
      <c r="E46" s="9">
        <f t="shared" si="1"/>
        <v>105866.71755634825</v>
      </c>
      <c r="F46" s="9" t="b">
        <v>0</v>
      </c>
      <c r="G46" s="24" t="str">
        <f t="shared" si="7"/>
        <v/>
      </c>
      <c r="H46" s="9"/>
      <c r="M46" s="9">
        <f t="shared" si="2"/>
        <v>210802.01686472524</v>
      </c>
      <c r="N46" s="9">
        <f t="shared" si="3"/>
        <v>95765.763037753233</v>
      </c>
      <c r="O46" s="9">
        <f t="shared" si="4"/>
        <v>105866.71755634825</v>
      </c>
      <c r="P46" s="6">
        <f t="shared" si="8"/>
        <v>46014501.530788794</v>
      </c>
    </row>
    <row r="47" spans="1:16" x14ac:dyDescent="0.2">
      <c r="A47" s="3">
        <f t="shared" si="0"/>
        <v>46</v>
      </c>
      <c r="B47" s="6">
        <f t="shared" si="9"/>
        <v>45918735.767751038</v>
      </c>
      <c r="C47" s="9">
        <f t="shared" si="5"/>
        <v>201431.69217077456</v>
      </c>
      <c r="D47" s="9">
        <f t="shared" si="6"/>
        <v>96005.177445347625</v>
      </c>
      <c r="E47" s="9">
        <f t="shared" si="1"/>
        <v>105426.51472542694</v>
      </c>
      <c r="F47" s="9" t="b">
        <v>0</v>
      </c>
      <c r="G47" s="24" t="str">
        <f t="shared" si="7"/>
        <v/>
      </c>
      <c r="H47" s="9"/>
      <c r="M47" s="9">
        <f t="shared" si="2"/>
        <v>210802.01686472524</v>
      </c>
      <c r="N47" s="9">
        <f t="shared" si="3"/>
        <v>96005.177445347625</v>
      </c>
      <c r="O47" s="9">
        <f t="shared" si="4"/>
        <v>105426.51472542694</v>
      </c>
      <c r="P47" s="6">
        <f t="shared" si="8"/>
        <v>45918735.767751038</v>
      </c>
    </row>
    <row r="48" spans="1:16" x14ac:dyDescent="0.2">
      <c r="A48" s="3">
        <f t="shared" si="0"/>
        <v>47</v>
      </c>
      <c r="B48" s="6">
        <f t="shared" si="9"/>
        <v>45822730.590305693</v>
      </c>
      <c r="C48" s="9">
        <f t="shared" si="5"/>
        <v>201231.32232654787</v>
      </c>
      <c r="D48" s="9">
        <f t="shared" si="6"/>
        <v>96245.190388961011</v>
      </c>
      <c r="E48" s="9">
        <f t="shared" si="1"/>
        <v>104986.13193758688</v>
      </c>
      <c r="F48" s="9" t="b">
        <v>0</v>
      </c>
      <c r="G48" s="24" t="str">
        <f t="shared" si="7"/>
        <v/>
      </c>
      <c r="H48" s="9"/>
      <c r="M48" s="9">
        <f t="shared" si="2"/>
        <v>210802.01686472524</v>
      </c>
      <c r="N48" s="9">
        <f t="shared" si="3"/>
        <v>96245.190388961011</v>
      </c>
      <c r="O48" s="9">
        <f t="shared" si="4"/>
        <v>104986.13193758688</v>
      </c>
      <c r="P48" s="6">
        <f t="shared" si="8"/>
        <v>45822730.590305693</v>
      </c>
    </row>
    <row r="49" spans="1:16" x14ac:dyDescent="0.2">
      <c r="A49" s="3">
        <f t="shared" si="0"/>
        <v>48</v>
      </c>
      <c r="B49" s="6">
        <f t="shared" si="9"/>
        <v>45726485.399916731</v>
      </c>
      <c r="C49" s="9">
        <f t="shared" si="5"/>
        <v>201031.37671637331</v>
      </c>
      <c r="D49" s="9">
        <f t="shared" si="6"/>
        <v>96485.803364933396</v>
      </c>
      <c r="E49" s="9">
        <f t="shared" si="1"/>
        <v>104545.5733514399</v>
      </c>
      <c r="F49" s="9" t="b">
        <v>0</v>
      </c>
      <c r="G49" s="24" t="str">
        <f t="shared" si="7"/>
        <v/>
      </c>
      <c r="H49" s="9"/>
      <c r="M49" s="9">
        <f t="shared" si="2"/>
        <v>210802.01686472524</v>
      </c>
      <c r="N49" s="9">
        <f t="shared" si="3"/>
        <v>96485.803364933396</v>
      </c>
      <c r="O49" s="9">
        <f t="shared" si="4"/>
        <v>104545.5733514399</v>
      </c>
      <c r="P49" s="6">
        <f t="shared" si="8"/>
        <v>45726485.399916731</v>
      </c>
    </row>
    <row r="50" spans="1:16" x14ac:dyDescent="0.2">
      <c r="A50" s="3">
        <f t="shared" si="0"/>
        <v>49</v>
      </c>
      <c r="B50" s="6">
        <f t="shared" si="9"/>
        <v>45629999.596551798</v>
      </c>
      <c r="C50" s="9">
        <f t="shared" si="5"/>
        <v>200831.86103241157</v>
      </c>
      <c r="D50" s="9">
        <f t="shared" si="6"/>
        <v>96727.017873345729</v>
      </c>
      <c r="E50" s="9">
        <f t="shared" si="1"/>
        <v>104104.84315906586</v>
      </c>
      <c r="F50" s="9" t="b">
        <v>0</v>
      </c>
      <c r="G50" s="24" t="str">
        <f t="shared" si="7"/>
        <v/>
      </c>
      <c r="H50" s="9"/>
      <c r="M50" s="9">
        <f t="shared" si="2"/>
        <v>210802.01686472524</v>
      </c>
      <c r="N50" s="9">
        <f t="shared" si="3"/>
        <v>96727.017873345729</v>
      </c>
      <c r="O50" s="9">
        <f t="shared" si="4"/>
        <v>104104.84315906586</v>
      </c>
      <c r="P50" s="6">
        <f t="shared" si="8"/>
        <v>45629999.596551798</v>
      </c>
    </row>
    <row r="51" spans="1:16" x14ac:dyDescent="0.2">
      <c r="A51" s="3">
        <f t="shared" si="0"/>
        <v>50</v>
      </c>
      <c r="B51" s="6">
        <f t="shared" si="9"/>
        <v>45533272.578678451</v>
      </c>
      <c r="C51" s="9">
        <f t="shared" si="5"/>
        <v>200632.78100424065</v>
      </c>
      <c r="D51" s="9">
        <f t="shared" si="6"/>
        <v>96968.835418029092</v>
      </c>
      <c r="E51" s="9">
        <f t="shared" si="1"/>
        <v>103663.94558621156</v>
      </c>
      <c r="F51" s="9" t="b">
        <v>0</v>
      </c>
      <c r="G51" s="24" t="str">
        <f t="shared" si="7"/>
        <v/>
      </c>
      <c r="H51" s="9"/>
      <c r="M51" s="9">
        <f t="shared" si="2"/>
        <v>210802.01686472524</v>
      </c>
      <c r="N51" s="9">
        <f t="shared" si="3"/>
        <v>96968.835418029092</v>
      </c>
      <c r="O51" s="9">
        <f t="shared" si="4"/>
        <v>103663.94558621156</v>
      </c>
      <c r="P51" s="6">
        <f t="shared" si="8"/>
        <v>45533272.578678451</v>
      </c>
    </row>
    <row r="52" spans="1:16" x14ac:dyDescent="0.2">
      <c r="A52" s="3">
        <f t="shared" si="0"/>
        <v>51</v>
      </c>
      <c r="B52" s="6">
        <f t="shared" si="9"/>
        <v>45436303.743260421</v>
      </c>
      <c r="C52" s="9">
        <f t="shared" si="5"/>
        <v>200434.14239906525</v>
      </c>
      <c r="D52" s="9">
        <f t="shared" si="6"/>
        <v>97211.257506574169</v>
      </c>
      <c r="E52" s="9">
        <f t="shared" si="1"/>
        <v>103222.88489249109</v>
      </c>
      <c r="F52" s="9" t="b">
        <v>0</v>
      </c>
      <c r="G52" s="24" t="str">
        <f t="shared" si="7"/>
        <v/>
      </c>
      <c r="H52" s="9"/>
      <c r="M52" s="9">
        <f t="shared" si="2"/>
        <v>210802.01686472524</v>
      </c>
      <c r="N52" s="9">
        <f t="shared" si="3"/>
        <v>97211.257506574169</v>
      </c>
      <c r="O52" s="9">
        <f t="shared" si="4"/>
        <v>103222.88489249109</v>
      </c>
      <c r="P52" s="6">
        <f t="shared" si="8"/>
        <v>45436303.743260421</v>
      </c>
    </row>
    <row r="53" spans="1:16" x14ac:dyDescent="0.2">
      <c r="A53" s="3">
        <f t="shared" si="0"/>
        <v>52</v>
      </c>
      <c r="B53" s="6">
        <f t="shared" si="9"/>
        <v>45339092.485753849</v>
      </c>
      <c r="C53" s="9">
        <f t="shared" si="5"/>
        <v>200235.95102192767</v>
      </c>
      <c r="D53" s="9">
        <f t="shared" si="6"/>
        <v>97454.285650340622</v>
      </c>
      <c r="E53" s="9">
        <f t="shared" si="1"/>
        <v>102781.66537158705</v>
      </c>
      <c r="F53" s="9" t="b">
        <v>0</v>
      </c>
      <c r="G53" s="24" t="str">
        <f t="shared" si="7"/>
        <v/>
      </c>
      <c r="H53" s="9"/>
      <c r="M53" s="9">
        <f t="shared" si="2"/>
        <v>210802.01686472524</v>
      </c>
      <c r="N53" s="9">
        <f t="shared" si="3"/>
        <v>97454.285650340622</v>
      </c>
      <c r="O53" s="9">
        <f t="shared" si="4"/>
        <v>102781.66537158705</v>
      </c>
      <c r="P53" s="6">
        <f t="shared" si="8"/>
        <v>45339092.485753849</v>
      </c>
    </row>
    <row r="54" spans="1:16" x14ac:dyDescent="0.2">
      <c r="A54" s="3">
        <f t="shared" si="0"/>
        <v>53</v>
      </c>
      <c r="B54" s="6">
        <f t="shared" si="9"/>
        <v>45241638.200103506</v>
      </c>
      <c r="C54" s="9">
        <f t="shared" si="5"/>
        <v>200038.21271591971</v>
      </c>
      <c r="D54" s="9">
        <f t="shared" si="6"/>
        <v>97697.921364466456</v>
      </c>
      <c r="E54" s="9">
        <f t="shared" si="1"/>
        <v>102340.29135145324</v>
      </c>
      <c r="F54" s="9" t="b">
        <v>0</v>
      </c>
      <c r="G54" s="24" t="str">
        <f t="shared" si="7"/>
        <v/>
      </c>
      <c r="H54" s="9"/>
      <c r="M54" s="9">
        <f t="shared" si="2"/>
        <v>210802.01686472524</v>
      </c>
      <c r="N54" s="9">
        <f t="shared" si="3"/>
        <v>97697.921364466456</v>
      </c>
      <c r="O54" s="9">
        <f t="shared" si="4"/>
        <v>102340.29135145324</v>
      </c>
      <c r="P54" s="6">
        <f t="shared" si="8"/>
        <v>45241638.200103506</v>
      </c>
    </row>
    <row r="55" spans="1:16" x14ac:dyDescent="0.2">
      <c r="A55" s="3">
        <f t="shared" si="0"/>
        <v>54</v>
      </c>
      <c r="B55" s="6">
        <f t="shared" si="9"/>
        <v>45143940.278739043</v>
      </c>
      <c r="C55" s="9">
        <f t="shared" si="5"/>
        <v>199840.9333623955</v>
      </c>
      <c r="D55" s="9">
        <f t="shared" si="6"/>
        <v>97942.166167877614</v>
      </c>
      <c r="E55" s="9">
        <f t="shared" si="1"/>
        <v>101898.76719451787</v>
      </c>
      <c r="F55" s="9" t="b">
        <v>0</v>
      </c>
      <c r="G55" s="24" t="str">
        <f t="shared" si="7"/>
        <v/>
      </c>
      <c r="H55" s="9"/>
      <c r="M55" s="9">
        <f t="shared" si="2"/>
        <v>210802.01686472524</v>
      </c>
      <c r="N55" s="9">
        <f t="shared" si="3"/>
        <v>97942.166167877614</v>
      </c>
      <c r="O55" s="9">
        <f t="shared" si="4"/>
        <v>101898.76719451787</v>
      </c>
      <c r="P55" s="6">
        <f t="shared" si="8"/>
        <v>45143940.278739043</v>
      </c>
    </row>
    <row r="56" spans="1:16" x14ac:dyDescent="0.2">
      <c r="A56" s="3">
        <f t="shared" si="0"/>
        <v>55</v>
      </c>
      <c r="B56" s="6">
        <f t="shared" si="9"/>
        <v>45045998.112571165</v>
      </c>
      <c r="C56" s="9">
        <f t="shared" si="5"/>
        <v>199644.11888118557</v>
      </c>
      <c r="D56" s="9">
        <f t="shared" si="6"/>
        <v>98187.021583297304</v>
      </c>
      <c r="E56" s="9">
        <f t="shared" si="1"/>
        <v>101457.09729788826</v>
      </c>
      <c r="F56" s="9" t="b">
        <v>0</v>
      </c>
      <c r="G56" s="24" t="str">
        <f t="shared" si="7"/>
        <v/>
      </c>
      <c r="H56" s="9"/>
      <c r="M56" s="9">
        <f t="shared" si="2"/>
        <v>210802.01686472524</v>
      </c>
      <c r="N56" s="9">
        <f t="shared" si="3"/>
        <v>98187.021583297304</v>
      </c>
      <c r="O56" s="9">
        <f t="shared" si="4"/>
        <v>101457.09729788826</v>
      </c>
      <c r="P56" s="6">
        <f t="shared" si="8"/>
        <v>45045998.112571165</v>
      </c>
    </row>
    <row r="57" spans="1:16" x14ac:dyDescent="0.2">
      <c r="A57" s="3">
        <f t="shared" si="0"/>
        <v>56</v>
      </c>
      <c r="B57" s="6">
        <f t="shared" si="9"/>
        <v>44947811.090987869</v>
      </c>
      <c r="C57" s="9">
        <f t="shared" si="5"/>
        <v>199447.7752308122</v>
      </c>
      <c r="D57" s="9">
        <f t="shared" si="6"/>
        <v>98432.489137255558</v>
      </c>
      <c r="E57" s="9">
        <f t="shared" si="1"/>
        <v>101015.28609355663</v>
      </c>
      <c r="F57" s="9" t="b">
        <v>0</v>
      </c>
      <c r="G57" s="24" t="str">
        <f t="shared" si="7"/>
        <v/>
      </c>
      <c r="H57" s="9"/>
      <c r="M57" s="9">
        <f t="shared" si="2"/>
        <v>210802.01686472524</v>
      </c>
      <c r="N57" s="9">
        <f t="shared" si="3"/>
        <v>98432.489137255558</v>
      </c>
      <c r="O57" s="9">
        <f t="shared" si="4"/>
        <v>101015.28609355663</v>
      </c>
      <c r="P57" s="6">
        <f t="shared" si="8"/>
        <v>44947811.090987869</v>
      </c>
    </row>
    <row r="58" spans="1:16" x14ac:dyDescent="0.2">
      <c r="A58" s="3">
        <f t="shared" si="0"/>
        <v>57</v>
      </c>
      <c r="B58" s="6">
        <f t="shared" si="9"/>
        <v>44849378.601850614</v>
      </c>
      <c r="C58" s="9">
        <f t="shared" si="5"/>
        <v>199251.90840870549</v>
      </c>
      <c r="D58" s="9">
        <f t="shared" si="6"/>
        <v>98678.570360098689</v>
      </c>
      <c r="E58" s="9">
        <f t="shared" si="1"/>
        <v>100573.33804860679</v>
      </c>
      <c r="F58" s="9" t="b">
        <v>0</v>
      </c>
      <c r="G58" s="24" t="str">
        <f t="shared" si="7"/>
        <v/>
      </c>
      <c r="H58" s="9"/>
      <c r="M58" s="9">
        <f t="shared" si="2"/>
        <v>210802.01686472524</v>
      </c>
      <c r="N58" s="9">
        <f t="shared" si="3"/>
        <v>98678.570360098689</v>
      </c>
      <c r="O58" s="9">
        <f t="shared" si="4"/>
        <v>100573.33804860679</v>
      </c>
      <c r="P58" s="6">
        <f t="shared" si="8"/>
        <v>44849378.601850614</v>
      </c>
    </row>
    <row r="59" spans="1:16" x14ac:dyDescent="0.2">
      <c r="A59" s="3">
        <f t="shared" si="0"/>
        <v>58</v>
      </c>
      <c r="B59" s="6">
        <f t="shared" si="9"/>
        <v>44750700.031490512</v>
      </c>
      <c r="C59" s="9">
        <f t="shared" si="5"/>
        <v>199056.52445142122</v>
      </c>
      <c r="D59" s="9">
        <f t="shared" si="6"/>
        <v>98925.266785998945</v>
      </c>
      <c r="E59" s="9">
        <f t="shared" si="1"/>
        <v>100131.25766542226</v>
      </c>
      <c r="F59" s="9" t="b">
        <v>0</v>
      </c>
      <c r="G59" s="24" t="str">
        <f t="shared" si="7"/>
        <v/>
      </c>
      <c r="H59" s="9"/>
      <c r="M59" s="9">
        <f t="shared" si="2"/>
        <v>210802.01686472524</v>
      </c>
      <c r="N59" s="9">
        <f t="shared" si="3"/>
        <v>98925.266785998945</v>
      </c>
      <c r="O59" s="9">
        <f t="shared" si="4"/>
        <v>100131.25766542226</v>
      </c>
      <c r="P59" s="6">
        <f t="shared" si="8"/>
        <v>44750700.031490512</v>
      </c>
    </row>
    <row r="60" spans="1:16" x14ac:dyDescent="0.2">
      <c r="A60" s="3">
        <f t="shared" si="0"/>
        <v>59</v>
      </c>
      <c r="B60" s="6">
        <f t="shared" si="9"/>
        <v>44651774.764704511</v>
      </c>
      <c r="C60" s="9">
        <f t="shared" si="5"/>
        <v>198861.62943485909</v>
      </c>
      <c r="D60" s="9">
        <f t="shared" si="6"/>
        <v>99172.579952963948</v>
      </c>
      <c r="E60" s="9">
        <f t="shared" si="1"/>
        <v>99689.049481895156</v>
      </c>
      <c r="F60" s="9" t="b">
        <v>0</v>
      </c>
      <c r="G60" s="24" t="str">
        <f t="shared" si="7"/>
        <v/>
      </c>
      <c r="H60" s="9"/>
      <c r="M60" s="9">
        <f t="shared" si="2"/>
        <v>210802.01686472524</v>
      </c>
      <c r="N60" s="9">
        <f t="shared" si="3"/>
        <v>99172.579952963948</v>
      </c>
      <c r="O60" s="9">
        <f t="shared" si="4"/>
        <v>99689.049481895156</v>
      </c>
      <c r="P60" s="6">
        <f t="shared" si="8"/>
        <v>44651774.764704511</v>
      </c>
    </row>
    <row r="61" spans="1:16" x14ac:dyDescent="0.2">
      <c r="A61" s="3">
        <f t="shared" si="0"/>
        <v>60</v>
      </c>
      <c r="B61" s="6">
        <f t="shared" si="9"/>
        <v>44552602.184751548</v>
      </c>
      <c r="C61" s="9">
        <f t="shared" si="5"/>
        <v>198667.22947448277</v>
      </c>
      <c r="D61" s="9">
        <f t="shared" si="6"/>
        <v>99420.511402846358</v>
      </c>
      <c r="E61" s="9">
        <f t="shared" si="1"/>
        <v>99246.718071636424</v>
      </c>
      <c r="F61" s="9" t="b">
        <v>0</v>
      </c>
      <c r="G61" s="24" t="str">
        <f t="shared" si="7"/>
        <v/>
      </c>
      <c r="H61" s="9"/>
      <c r="M61" s="9">
        <f t="shared" si="2"/>
        <v>210802.01686472524</v>
      </c>
      <c r="N61" s="9">
        <f t="shared" si="3"/>
        <v>99420.511402846358</v>
      </c>
      <c r="O61" s="9">
        <f t="shared" si="4"/>
        <v>99246.718071636424</v>
      </c>
      <c r="P61" s="6">
        <f t="shared" si="8"/>
        <v>44552602.184751548</v>
      </c>
    </row>
    <row r="62" spans="1:16" x14ac:dyDescent="0.2">
      <c r="A62" s="3">
        <f t="shared" si="0"/>
        <v>61</v>
      </c>
      <c r="B62" s="6">
        <f t="shared" si="9"/>
        <v>44453181.673348702</v>
      </c>
      <c r="C62" s="9">
        <f t="shared" si="5"/>
        <v>198473.33072554073</v>
      </c>
      <c r="D62" s="9">
        <f t="shared" si="6"/>
        <v>99669.062681353462</v>
      </c>
      <c r="E62" s="9">
        <f t="shared" si="1"/>
        <v>98804.268044187265</v>
      </c>
      <c r="F62" s="9" t="b">
        <v>0</v>
      </c>
      <c r="G62" s="24" t="str">
        <f t="shared" si="7"/>
        <v/>
      </c>
      <c r="H62" s="9"/>
      <c r="M62" s="9">
        <f t="shared" si="2"/>
        <v>210802.01686472524</v>
      </c>
      <c r="N62" s="9">
        <f t="shared" si="3"/>
        <v>99669.062681353462</v>
      </c>
      <c r="O62" s="9">
        <f t="shared" si="4"/>
        <v>98804.268044187265</v>
      </c>
      <c r="P62" s="6">
        <f t="shared" si="8"/>
        <v>44453181.673348702</v>
      </c>
    </row>
    <row r="63" spans="1:16" x14ac:dyDescent="0.2">
      <c r="A63" s="3">
        <f t="shared" si="0"/>
        <v>62</v>
      </c>
      <c r="B63" s="6">
        <f t="shared" si="9"/>
        <v>44353512.610667348</v>
      </c>
      <c r="C63" s="9">
        <f t="shared" si="5"/>
        <v>198279.93938328826</v>
      </c>
      <c r="D63" s="9">
        <f t="shared" si="6"/>
        <v>99918.235338056838</v>
      </c>
      <c r="E63" s="9">
        <f t="shared" si="1"/>
        <v>98361.704045231425</v>
      </c>
      <c r="F63" s="9" t="b">
        <v>0</v>
      </c>
      <c r="G63" s="24" t="str">
        <f t="shared" si="7"/>
        <v/>
      </c>
      <c r="H63" s="9"/>
      <c r="M63" s="9">
        <f t="shared" si="2"/>
        <v>210802.01686472524</v>
      </c>
      <c r="N63" s="9">
        <f t="shared" si="3"/>
        <v>99918.235338056838</v>
      </c>
      <c r="O63" s="9">
        <f t="shared" si="4"/>
        <v>98361.704045231425</v>
      </c>
      <c r="P63" s="6">
        <f t="shared" si="8"/>
        <v>44353512.610667348</v>
      </c>
    </row>
    <row r="64" spans="1:16" x14ac:dyDescent="0.2">
      <c r="A64" s="3">
        <f t="shared" si="0"/>
        <v>63</v>
      </c>
      <c r="B64" s="6">
        <f t="shared" si="9"/>
        <v>44253594.375329293</v>
      </c>
      <c r="C64" s="9">
        <f t="shared" si="5"/>
        <v>198087.06168321081</v>
      </c>
      <c r="D64" s="9">
        <f t="shared" si="6"/>
        <v>100168.03092640199</v>
      </c>
      <c r="E64" s="9">
        <f t="shared" si="1"/>
        <v>97919.030756808817</v>
      </c>
      <c r="F64" s="9" t="b">
        <v>0</v>
      </c>
      <c r="G64" s="24" t="str">
        <f t="shared" si="7"/>
        <v/>
      </c>
      <c r="H64" s="9"/>
      <c r="M64" s="9">
        <f t="shared" si="2"/>
        <v>210802.01686472524</v>
      </c>
      <c r="N64" s="9">
        <f t="shared" si="3"/>
        <v>100168.03092640199</v>
      </c>
      <c r="O64" s="9">
        <f t="shared" si="4"/>
        <v>97919.030756808817</v>
      </c>
      <c r="P64" s="6">
        <f t="shared" si="8"/>
        <v>44253594.375329293</v>
      </c>
    </row>
    <row r="65" spans="1:16" x14ac:dyDescent="0.2">
      <c r="A65" s="3">
        <f t="shared" si="0"/>
        <v>64</v>
      </c>
      <c r="B65" s="6">
        <f t="shared" si="9"/>
        <v>44153426.344402894</v>
      </c>
      <c r="C65" s="9">
        <f t="shared" si="5"/>
        <v>197894.70390124858</v>
      </c>
      <c r="D65" s="9">
        <f t="shared" si="6"/>
        <v>100418.45100371799</v>
      </c>
      <c r="E65" s="9">
        <f t="shared" si="1"/>
        <v>97476.25289753059</v>
      </c>
      <c r="F65" s="9" t="b">
        <v>0</v>
      </c>
      <c r="G65" s="24" t="str">
        <f t="shared" si="7"/>
        <v/>
      </c>
      <c r="H65" s="9"/>
      <c r="M65" s="9">
        <f t="shared" si="2"/>
        <v>210802.01686472524</v>
      </c>
      <c r="N65" s="9">
        <f t="shared" si="3"/>
        <v>100418.45100371799</v>
      </c>
      <c r="O65" s="9">
        <f t="shared" si="4"/>
        <v>97476.25289753059</v>
      </c>
      <c r="P65" s="6">
        <f t="shared" si="8"/>
        <v>44153426.344402894</v>
      </c>
    </row>
    <row r="66" spans="1:16" x14ac:dyDescent="0.2">
      <c r="A66" s="3">
        <f t="shared" ref="A66:A129" si="10">IF(ROW(A66)-1&gt;$I$4,"",ROW(A66)-1)</f>
        <v>65</v>
      </c>
      <c r="B66" s="6">
        <f t="shared" si="9"/>
        <v>44053007.893399179</v>
      </c>
      <c r="C66" s="9">
        <f t="shared" si="5"/>
        <v>197702.87235402182</v>
      </c>
      <c r="D66" s="9">
        <f t="shared" si="6"/>
        <v>100669.4971312273</v>
      </c>
      <c r="E66" s="9">
        <f t="shared" ref="E66:E129" si="11">MAX(0,-IPMT($I$2/12,A66, $I$4,B66))</f>
        <v>97033.375222794508</v>
      </c>
      <c r="F66" s="9" t="b">
        <v>0</v>
      </c>
      <c r="G66" s="24" t="str">
        <f t="shared" si="7"/>
        <v/>
      </c>
      <c r="H66" s="9"/>
      <c r="M66" s="9">
        <f t="shared" ref="M66:M129" si="12">-PMT($I$2/12, ($I$4/12)*12, $I$3)</f>
        <v>210802.01686472524</v>
      </c>
      <c r="N66" s="9">
        <f t="shared" ref="N66:N129" si="13">-PPMT($I$2/12,A66,$I$4, $I$3)</f>
        <v>100669.4971312273</v>
      </c>
      <c r="O66" s="9">
        <f t="shared" ref="O66:O129" si="14">MAX(0,-IPMT($I$2/12,A66, $I$4,P66))</f>
        <v>97033.375222794508</v>
      </c>
      <c r="P66" s="6">
        <f t="shared" si="8"/>
        <v>44053007.893399179</v>
      </c>
    </row>
    <row r="67" spans="1:16" x14ac:dyDescent="0.2">
      <c r="A67" s="3">
        <f t="shared" si="10"/>
        <v>66</v>
      </c>
      <c r="B67" s="6">
        <f t="shared" si="9"/>
        <v>43952338.396267951</v>
      </c>
      <c r="C67" s="9">
        <f t="shared" ref="C67:C130" si="15">IF(B67&gt;0, IF(F67=TRUE, D67+E67+G67,D67+E67), "")</f>
        <v>197511.57339905784</v>
      </c>
      <c r="D67" s="9">
        <f t="shared" ref="D67:D130" si="16">-PPMT($I$2/12,A67,$I$4, $I$3)</f>
        <v>100921.17087405536</v>
      </c>
      <c r="E67" s="9">
        <f t="shared" si="11"/>
        <v>96590.402525002486</v>
      </c>
      <c r="F67" s="9" t="b">
        <v>0</v>
      </c>
      <c r="G67" s="24" t="str">
        <f t="shared" ref="G67:G130" si="17">IF(F67=TRUE,D67*2,"")</f>
        <v/>
      </c>
      <c r="H67" s="9"/>
      <c r="M67" s="9">
        <f t="shared" si="12"/>
        <v>210802.01686472524</v>
      </c>
      <c r="N67" s="9">
        <f t="shared" si="13"/>
        <v>100921.17087405536</v>
      </c>
      <c r="O67" s="9">
        <f t="shared" si="14"/>
        <v>96590.402525002486</v>
      </c>
      <c r="P67" s="6">
        <f t="shared" ref="P67:P130" si="18">P66-N66</f>
        <v>43952338.396267951</v>
      </c>
    </row>
    <row r="68" spans="1:16" x14ac:dyDescent="0.2">
      <c r="A68" s="3">
        <f t="shared" si="10"/>
        <v>67</v>
      </c>
      <c r="B68" s="6">
        <f t="shared" ref="B68:B131" si="19">MAX(0,IF(F68=TRUE,B67-(D68+G68),B67-D67))</f>
        <v>43851417.225393899</v>
      </c>
      <c r="C68" s="9">
        <f t="shared" si="15"/>
        <v>197320.81343501914</v>
      </c>
      <c r="D68" s="9">
        <f t="shared" si="16"/>
        <v>101173.4738012405</v>
      </c>
      <c r="E68" s="9">
        <f t="shared" si="11"/>
        <v>96147.33963377864</v>
      </c>
      <c r="F68" s="9" t="b">
        <v>0</v>
      </c>
      <c r="G68" s="24" t="str">
        <f t="shared" si="17"/>
        <v/>
      </c>
      <c r="H68" s="9"/>
      <c r="M68" s="9">
        <f t="shared" si="12"/>
        <v>210802.01686472524</v>
      </c>
      <c r="N68" s="9">
        <f t="shared" si="13"/>
        <v>101173.4738012405</v>
      </c>
      <c r="O68" s="9">
        <f t="shared" si="14"/>
        <v>96147.33963377864</v>
      </c>
      <c r="P68" s="6">
        <f t="shared" si="18"/>
        <v>43851417.225393899</v>
      </c>
    </row>
    <row r="69" spans="1:16" x14ac:dyDescent="0.2">
      <c r="A69" s="3">
        <f t="shared" si="10"/>
        <v>68</v>
      </c>
      <c r="B69" s="6">
        <f t="shared" si="19"/>
        <v>43750243.751592658</v>
      </c>
      <c r="C69" s="9">
        <f t="shared" si="15"/>
        <v>197130.59890193222</v>
      </c>
      <c r="D69" s="9">
        <f t="shared" si="16"/>
        <v>101426.40748574359</v>
      </c>
      <c r="E69" s="9">
        <f t="shared" si="11"/>
        <v>95704.191416188623</v>
      </c>
      <c r="F69" s="9" t="b">
        <v>0</v>
      </c>
      <c r="G69" s="24" t="str">
        <f t="shared" si="17"/>
        <v/>
      </c>
      <c r="H69" s="9"/>
      <c r="M69" s="9">
        <f t="shared" si="12"/>
        <v>210802.01686472524</v>
      </c>
      <c r="N69" s="9">
        <f t="shared" si="13"/>
        <v>101426.40748574359</v>
      </c>
      <c r="O69" s="9">
        <f t="shared" si="14"/>
        <v>95704.191416188623</v>
      </c>
      <c r="P69" s="6">
        <f t="shared" si="18"/>
        <v>43750243.751592658</v>
      </c>
    </row>
    <row r="70" spans="1:16" x14ac:dyDescent="0.2">
      <c r="A70" s="3">
        <f t="shared" si="10"/>
        <v>69</v>
      </c>
      <c r="B70" s="6">
        <f t="shared" si="19"/>
        <v>43648817.344106913</v>
      </c>
      <c r="C70" s="9">
        <f t="shared" si="15"/>
        <v>196940.93628141843</v>
      </c>
      <c r="D70" s="9">
        <f t="shared" si="16"/>
        <v>101679.97350445796</v>
      </c>
      <c r="E70" s="9">
        <f t="shared" si="11"/>
        <v>95260.962776960456</v>
      </c>
      <c r="F70" s="9" t="b">
        <v>0</v>
      </c>
      <c r="G70" s="24" t="str">
        <f t="shared" si="17"/>
        <v/>
      </c>
      <c r="H70" s="9"/>
      <c r="M70" s="9">
        <f t="shared" si="12"/>
        <v>210802.01686472524</v>
      </c>
      <c r="N70" s="9">
        <f t="shared" si="13"/>
        <v>101679.97350445796</v>
      </c>
      <c r="O70" s="9">
        <f t="shared" si="14"/>
        <v>95260.962776960456</v>
      </c>
      <c r="P70" s="6">
        <f t="shared" si="18"/>
        <v>43648817.344106913</v>
      </c>
    </row>
    <row r="71" spans="1:16" x14ac:dyDescent="0.2">
      <c r="A71" s="3">
        <f t="shared" si="10"/>
        <v>70</v>
      </c>
      <c r="B71" s="6">
        <f t="shared" si="19"/>
        <v>43547137.370602451</v>
      </c>
      <c r="C71" s="9">
        <f t="shared" si="15"/>
        <v>196751.83209692512</v>
      </c>
      <c r="D71" s="9">
        <f t="shared" si="16"/>
        <v>101934.17343821909</v>
      </c>
      <c r="E71" s="9">
        <f t="shared" si="11"/>
        <v>94817.658658706045</v>
      </c>
      <c r="F71" s="9" t="b">
        <v>0</v>
      </c>
      <c r="G71" s="24" t="str">
        <f t="shared" si="17"/>
        <v/>
      </c>
      <c r="H71" s="9"/>
      <c r="M71" s="9">
        <f t="shared" si="12"/>
        <v>210802.01686472524</v>
      </c>
      <c r="N71" s="9">
        <f t="shared" si="13"/>
        <v>101934.17343821909</v>
      </c>
      <c r="O71" s="9">
        <f t="shared" si="14"/>
        <v>94817.658658706045</v>
      </c>
      <c r="P71" s="6">
        <f t="shared" si="18"/>
        <v>43547137.370602451</v>
      </c>
    </row>
    <row r="72" spans="1:16" x14ac:dyDescent="0.2">
      <c r="A72" s="3">
        <f t="shared" si="10"/>
        <v>71</v>
      </c>
      <c r="B72" s="6">
        <f t="shared" si="19"/>
        <v>43445203.19716423</v>
      </c>
      <c r="C72" s="9">
        <f t="shared" si="15"/>
        <v>196563.29291395913</v>
      </c>
      <c r="D72" s="9">
        <f t="shared" si="16"/>
        <v>102189.00887181464</v>
      </c>
      <c r="E72" s="9">
        <f t="shared" si="11"/>
        <v>94374.284042144471</v>
      </c>
      <c r="F72" s="9" t="b">
        <v>0</v>
      </c>
      <c r="G72" s="24" t="str">
        <f t="shared" si="17"/>
        <v/>
      </c>
      <c r="H72" s="9"/>
      <c r="M72" s="9">
        <f t="shared" si="12"/>
        <v>210802.01686472524</v>
      </c>
      <c r="N72" s="9">
        <f t="shared" si="13"/>
        <v>102189.00887181464</v>
      </c>
      <c r="O72" s="9">
        <f t="shared" si="14"/>
        <v>94374.284042144471</v>
      </c>
      <c r="P72" s="6">
        <f t="shared" si="18"/>
        <v>43445203.19716423</v>
      </c>
    </row>
    <row r="73" spans="1:16" x14ac:dyDescent="0.2">
      <c r="A73" s="3">
        <f t="shared" si="10"/>
        <v>72</v>
      </c>
      <c r="B73" s="6">
        <f t="shared" si="19"/>
        <v>43343014.188292414</v>
      </c>
      <c r="C73" s="9">
        <f t="shared" si="15"/>
        <v>196375.32534032004</v>
      </c>
      <c r="D73" s="9">
        <f t="shared" si="16"/>
        <v>102444.48139399418</v>
      </c>
      <c r="E73" s="9">
        <f t="shared" si="11"/>
        <v>93930.843946325855</v>
      </c>
      <c r="F73" s="9" t="b">
        <v>0</v>
      </c>
      <c r="G73" s="24" t="str">
        <f t="shared" si="17"/>
        <v/>
      </c>
      <c r="H73" s="9"/>
      <c r="M73" s="9">
        <f t="shared" si="12"/>
        <v>210802.01686472524</v>
      </c>
      <c r="N73" s="9">
        <f t="shared" si="13"/>
        <v>102444.48139399418</v>
      </c>
      <c r="O73" s="9">
        <f t="shared" si="14"/>
        <v>93930.843946325855</v>
      </c>
      <c r="P73" s="6">
        <f t="shared" si="18"/>
        <v>43343014.188292414</v>
      </c>
    </row>
    <row r="74" spans="1:16" x14ac:dyDescent="0.2">
      <c r="A74" s="3">
        <f t="shared" si="10"/>
        <v>73</v>
      </c>
      <c r="B74" s="6">
        <f t="shared" si="19"/>
        <v>43240569.706898421</v>
      </c>
      <c r="C74" s="9">
        <f t="shared" si="15"/>
        <v>196187.93602633625</v>
      </c>
      <c r="D74" s="9">
        <f t="shared" si="16"/>
        <v>102700.59259747918</v>
      </c>
      <c r="E74" s="9">
        <f t="shared" si="11"/>
        <v>93487.343428857072</v>
      </c>
      <c r="F74" s="9" t="b">
        <v>0</v>
      </c>
      <c r="G74" s="24" t="str">
        <f t="shared" si="17"/>
        <v/>
      </c>
      <c r="H74" s="9"/>
      <c r="M74" s="9">
        <f t="shared" si="12"/>
        <v>210802.01686472524</v>
      </c>
      <c r="N74" s="9">
        <f t="shared" si="13"/>
        <v>102700.59259747918</v>
      </c>
      <c r="O74" s="9">
        <f t="shared" si="14"/>
        <v>93487.343428857072</v>
      </c>
      <c r="P74" s="6">
        <f t="shared" si="18"/>
        <v>43240569.706898421</v>
      </c>
    </row>
    <row r="75" spans="1:16" x14ac:dyDescent="0.2">
      <c r="A75" s="3">
        <f t="shared" si="10"/>
        <v>74</v>
      </c>
      <c r="B75" s="6">
        <f t="shared" si="19"/>
        <v>43137869.114300944</v>
      </c>
      <c r="C75" s="9">
        <f t="shared" si="15"/>
        <v>196001.13166510087</v>
      </c>
      <c r="D75" s="9">
        <f t="shared" si="16"/>
        <v>102957.34407897286</v>
      </c>
      <c r="E75" s="9">
        <f t="shared" si="11"/>
        <v>93043.78758612799</v>
      </c>
      <c r="F75" s="9" t="b">
        <v>0</v>
      </c>
      <c r="G75" s="24" t="str">
        <f t="shared" si="17"/>
        <v/>
      </c>
      <c r="H75" s="9"/>
      <c r="M75" s="9">
        <f t="shared" si="12"/>
        <v>210802.01686472524</v>
      </c>
      <c r="N75" s="9">
        <f t="shared" si="13"/>
        <v>102957.34407897286</v>
      </c>
      <c r="O75" s="9">
        <f t="shared" si="14"/>
        <v>93043.78758612799</v>
      </c>
      <c r="P75" s="6">
        <f t="shared" si="18"/>
        <v>43137869.114300944</v>
      </c>
    </row>
    <row r="76" spans="1:16" x14ac:dyDescent="0.2">
      <c r="A76" s="3">
        <f t="shared" si="10"/>
        <v>75</v>
      </c>
      <c r="B76" s="6">
        <f t="shared" si="19"/>
        <v>43034911.770221971</v>
      </c>
      <c r="C76" s="9">
        <f t="shared" si="15"/>
        <v>195814.91899270978</v>
      </c>
      <c r="D76" s="9">
        <f t="shared" si="16"/>
        <v>103214.73743917029</v>
      </c>
      <c r="E76" s="9">
        <f t="shared" si="11"/>
        <v>92600.1815535395</v>
      </c>
      <c r="F76" s="9" t="b">
        <v>0</v>
      </c>
      <c r="G76" s="24" t="str">
        <f t="shared" si="17"/>
        <v/>
      </c>
      <c r="H76" s="9"/>
      <c r="M76" s="9">
        <f t="shared" si="12"/>
        <v>210802.01686472524</v>
      </c>
      <c r="N76" s="9">
        <f t="shared" si="13"/>
        <v>103214.73743917029</v>
      </c>
      <c r="O76" s="9">
        <f t="shared" si="14"/>
        <v>92600.1815535395</v>
      </c>
      <c r="P76" s="6">
        <f t="shared" si="18"/>
        <v>43034911.770221971</v>
      </c>
    </row>
    <row r="77" spans="1:16" x14ac:dyDescent="0.2">
      <c r="A77" s="3">
        <f t="shared" si="10"/>
        <v>76</v>
      </c>
      <c r="B77" s="6">
        <f t="shared" si="19"/>
        <v>42931697.0327828</v>
      </c>
      <c r="C77" s="9">
        <f t="shared" si="15"/>
        <v>195629.30478850083</v>
      </c>
      <c r="D77" s="9">
        <f t="shared" si="16"/>
        <v>103472.77428276822</v>
      </c>
      <c r="E77" s="9">
        <f t="shared" si="11"/>
        <v>92156.530505732604</v>
      </c>
      <c r="F77" s="9" t="b">
        <v>0</v>
      </c>
      <c r="G77" s="24" t="str">
        <f t="shared" si="17"/>
        <v/>
      </c>
      <c r="H77" s="9"/>
      <c r="M77" s="9">
        <f t="shared" si="12"/>
        <v>210802.01686472524</v>
      </c>
      <c r="N77" s="9">
        <f t="shared" si="13"/>
        <v>103472.77428276822</v>
      </c>
      <c r="O77" s="9">
        <f t="shared" si="14"/>
        <v>92156.530505732604</v>
      </c>
      <c r="P77" s="6">
        <f t="shared" si="18"/>
        <v>42931697.0327828</v>
      </c>
    </row>
    <row r="78" spans="1:16" x14ac:dyDescent="0.2">
      <c r="A78" s="3">
        <f t="shared" si="10"/>
        <v>77</v>
      </c>
      <c r="B78" s="6">
        <f t="shared" si="19"/>
        <v>42828224.258500032</v>
      </c>
      <c r="C78" s="9">
        <f t="shared" si="15"/>
        <v>195444.29587529367</v>
      </c>
      <c r="D78" s="9">
        <f t="shared" si="16"/>
        <v>103731.45621847516</v>
      </c>
      <c r="E78" s="9">
        <f t="shared" si="11"/>
        <v>91712.839656818527</v>
      </c>
      <c r="F78" s="9" t="b">
        <v>0</v>
      </c>
      <c r="G78" s="24" t="str">
        <f t="shared" si="17"/>
        <v/>
      </c>
      <c r="H78" s="9"/>
      <c r="M78" s="9">
        <f t="shared" si="12"/>
        <v>210802.01686472524</v>
      </c>
      <c r="N78" s="9">
        <f t="shared" si="13"/>
        <v>103731.45621847516</v>
      </c>
      <c r="O78" s="9">
        <f t="shared" si="14"/>
        <v>91712.839656818527</v>
      </c>
      <c r="P78" s="6">
        <f t="shared" si="18"/>
        <v>42828224.258500032</v>
      </c>
    </row>
    <row r="79" spans="1:16" x14ac:dyDescent="0.2">
      <c r="A79" s="3">
        <f t="shared" si="10"/>
        <v>78</v>
      </c>
      <c r="B79" s="6">
        <f t="shared" si="19"/>
        <v>42724492.802281559</v>
      </c>
      <c r="C79" s="9">
        <f t="shared" si="15"/>
        <v>195259.89911963174</v>
      </c>
      <c r="D79" s="9">
        <f t="shared" si="16"/>
        <v>103990.78485902134</v>
      </c>
      <c r="E79" s="9">
        <f t="shared" si="11"/>
        <v>91269.114260610411</v>
      </c>
      <c r="F79" s="9" t="b">
        <v>0</v>
      </c>
      <c r="G79" s="24" t="str">
        <f t="shared" si="17"/>
        <v/>
      </c>
      <c r="H79" s="9"/>
      <c r="M79" s="9">
        <f t="shared" si="12"/>
        <v>210802.01686472524</v>
      </c>
      <c r="N79" s="9">
        <f t="shared" si="13"/>
        <v>103990.78485902134</v>
      </c>
      <c r="O79" s="9">
        <f t="shared" si="14"/>
        <v>91269.114260610411</v>
      </c>
      <c r="P79" s="6">
        <f t="shared" si="18"/>
        <v>42724492.802281559</v>
      </c>
    </row>
    <row r="80" spans="1:16" x14ac:dyDescent="0.2">
      <c r="A80" s="3">
        <f t="shared" si="10"/>
        <v>79</v>
      </c>
      <c r="B80" s="6">
        <f t="shared" si="19"/>
        <v>42620502.017422535</v>
      </c>
      <c r="C80" s="9">
        <f t="shared" si="15"/>
        <v>195076.12143202481</v>
      </c>
      <c r="D80" s="9">
        <f t="shared" si="16"/>
        <v>104250.76182116888</v>
      </c>
      <c r="E80" s="9">
        <f t="shared" si="11"/>
        <v>90825.359610855929</v>
      </c>
      <c r="F80" s="9" t="b">
        <v>0</v>
      </c>
      <c r="G80" s="24" t="str">
        <f t="shared" si="17"/>
        <v/>
      </c>
      <c r="H80" s="9"/>
      <c r="M80" s="9">
        <f t="shared" si="12"/>
        <v>210802.01686472524</v>
      </c>
      <c r="N80" s="9">
        <f t="shared" si="13"/>
        <v>104250.76182116888</v>
      </c>
      <c r="O80" s="9">
        <f t="shared" si="14"/>
        <v>90825.359610855929</v>
      </c>
      <c r="P80" s="6">
        <f t="shared" si="18"/>
        <v>42620502.017422535</v>
      </c>
    </row>
    <row r="81" spans="1:16" x14ac:dyDescent="0.2">
      <c r="A81" s="3">
        <f t="shared" si="10"/>
        <v>80</v>
      </c>
      <c r="B81" s="6">
        <f t="shared" si="19"/>
        <v>42516251.255601369</v>
      </c>
      <c r="C81" s="9">
        <f t="shared" si="15"/>
        <v>194892.96976719308</v>
      </c>
      <c r="D81" s="9">
        <f t="shared" si="16"/>
        <v>104511.38872572182</v>
      </c>
      <c r="E81" s="9">
        <f t="shared" si="11"/>
        <v>90381.581041471247</v>
      </c>
      <c r="F81" s="9" t="b">
        <v>0</v>
      </c>
      <c r="G81" s="24" t="str">
        <f t="shared" si="17"/>
        <v/>
      </c>
      <c r="H81" s="9"/>
      <c r="M81" s="9">
        <f t="shared" si="12"/>
        <v>210802.01686472524</v>
      </c>
      <c r="N81" s="9">
        <f t="shared" si="13"/>
        <v>104511.38872572182</v>
      </c>
      <c r="O81" s="9">
        <f t="shared" si="14"/>
        <v>90381.581041471247</v>
      </c>
      <c r="P81" s="6">
        <f t="shared" si="18"/>
        <v>42516251.255601369</v>
      </c>
    </row>
    <row r="82" spans="1:16" x14ac:dyDescent="0.2">
      <c r="A82" s="3">
        <f t="shared" si="10"/>
        <v>81</v>
      </c>
      <c r="B82" s="6">
        <f t="shared" si="19"/>
        <v>42411739.866875648</v>
      </c>
      <c r="C82" s="9">
        <f t="shared" si="15"/>
        <v>194710.45112431259</v>
      </c>
      <c r="D82" s="9">
        <f t="shared" si="16"/>
        <v>104772.66719753612</v>
      </c>
      <c r="E82" s="9">
        <f t="shared" si="11"/>
        <v>89937.783926776465</v>
      </c>
      <c r="F82" s="9" t="b">
        <v>0</v>
      </c>
      <c r="G82" s="24" t="str">
        <f t="shared" si="17"/>
        <v/>
      </c>
      <c r="H82" s="9"/>
      <c r="M82" s="9">
        <f t="shared" si="12"/>
        <v>210802.01686472524</v>
      </c>
      <c r="N82" s="9">
        <f t="shared" si="13"/>
        <v>104772.66719753612</v>
      </c>
      <c r="O82" s="9">
        <f t="shared" si="14"/>
        <v>89937.783926776465</v>
      </c>
      <c r="P82" s="6">
        <f t="shared" si="18"/>
        <v>42411739.866875648</v>
      </c>
    </row>
    <row r="83" spans="1:16" x14ac:dyDescent="0.2">
      <c r="A83" s="3">
        <f t="shared" si="10"/>
        <v>82</v>
      </c>
      <c r="B83" s="6">
        <f t="shared" si="19"/>
        <v>42306967.199678116</v>
      </c>
      <c r="C83" s="9">
        <f t="shared" si="15"/>
        <v>194528.57254726195</v>
      </c>
      <c r="D83" s="9">
        <f t="shared" si="16"/>
        <v>105034.59886552996</v>
      </c>
      <c r="E83" s="9">
        <f t="shared" si="11"/>
        <v>89493.973681732008</v>
      </c>
      <c r="F83" s="9" t="b">
        <v>0</v>
      </c>
      <c r="G83" s="24" t="str">
        <f t="shared" si="17"/>
        <v/>
      </c>
      <c r="H83" s="9"/>
      <c r="M83" s="9">
        <f t="shared" si="12"/>
        <v>210802.01686472524</v>
      </c>
      <c r="N83" s="9">
        <f t="shared" si="13"/>
        <v>105034.59886552996</v>
      </c>
      <c r="O83" s="9">
        <f t="shared" si="14"/>
        <v>89493.973681732008</v>
      </c>
      <c r="P83" s="6">
        <f t="shared" si="18"/>
        <v>42306967.199678116</v>
      </c>
    </row>
    <row r="84" spans="1:16" x14ac:dyDescent="0.2">
      <c r="A84" s="3">
        <f t="shared" si="10"/>
        <v>83</v>
      </c>
      <c r="B84" s="6">
        <f t="shared" si="19"/>
        <v>42201932.600812584</v>
      </c>
      <c r="C84" s="9">
        <f t="shared" si="15"/>
        <v>194347.34112487017</v>
      </c>
      <c r="D84" s="9">
        <f t="shared" si="16"/>
        <v>105297.18536269378</v>
      </c>
      <c r="E84" s="9">
        <f t="shared" si="11"/>
        <v>89050.155762176379</v>
      </c>
      <c r="F84" s="9" t="b">
        <v>0</v>
      </c>
      <c r="G84" s="24" t="str">
        <f t="shared" si="17"/>
        <v/>
      </c>
      <c r="H84" s="9"/>
      <c r="M84" s="9">
        <f t="shared" si="12"/>
        <v>210802.01686472524</v>
      </c>
      <c r="N84" s="9">
        <f t="shared" si="13"/>
        <v>105297.18536269378</v>
      </c>
      <c r="O84" s="9">
        <f t="shared" si="14"/>
        <v>89050.155762176379</v>
      </c>
      <c r="P84" s="6">
        <f t="shared" si="18"/>
        <v>42201932.600812584</v>
      </c>
    </row>
    <row r="85" spans="1:16" x14ac:dyDescent="0.2">
      <c r="A85" s="3">
        <f t="shared" si="10"/>
        <v>84</v>
      </c>
      <c r="B85" s="6">
        <f t="shared" si="19"/>
        <v>42096635.415449888</v>
      </c>
      <c r="C85" s="9">
        <f t="shared" si="15"/>
        <v>194166.76399116599</v>
      </c>
      <c r="D85" s="9">
        <f t="shared" si="16"/>
        <v>105560.42832610052</v>
      </c>
      <c r="E85" s="9">
        <f t="shared" si="11"/>
        <v>88606.335665065475</v>
      </c>
      <c r="F85" s="9" t="b">
        <v>0</v>
      </c>
      <c r="G85" s="24" t="str">
        <f t="shared" si="17"/>
        <v/>
      </c>
      <c r="H85" s="9"/>
      <c r="M85" s="9">
        <f t="shared" si="12"/>
        <v>210802.01686472524</v>
      </c>
      <c r="N85" s="9">
        <f t="shared" si="13"/>
        <v>105560.42832610052</v>
      </c>
      <c r="O85" s="9">
        <f t="shared" si="14"/>
        <v>88606.335665065475</v>
      </c>
      <c r="P85" s="6">
        <f t="shared" si="18"/>
        <v>42096635.415449888</v>
      </c>
    </row>
    <row r="86" spans="1:16" x14ac:dyDescent="0.2">
      <c r="A86" s="3">
        <f t="shared" si="10"/>
        <v>85</v>
      </c>
      <c r="B86" s="6">
        <f t="shared" si="19"/>
        <v>41991074.987123787</v>
      </c>
      <c r="C86" s="9">
        <f t="shared" si="15"/>
        <v>193986.84832562844</v>
      </c>
      <c r="D86" s="9">
        <f t="shared" si="16"/>
        <v>105824.32939691577</v>
      </c>
      <c r="E86" s="9">
        <f t="shared" si="11"/>
        <v>88162.51892871267</v>
      </c>
      <c r="F86" s="9" t="b">
        <v>0</v>
      </c>
      <c r="G86" s="24" t="str">
        <f t="shared" si="17"/>
        <v/>
      </c>
      <c r="H86" s="9"/>
      <c r="M86" s="9">
        <f t="shared" si="12"/>
        <v>210802.01686472524</v>
      </c>
      <c r="N86" s="9">
        <f t="shared" si="13"/>
        <v>105824.32939691577</v>
      </c>
      <c r="O86" s="9">
        <f t="shared" si="14"/>
        <v>88162.51892871267</v>
      </c>
      <c r="P86" s="6">
        <f t="shared" si="18"/>
        <v>41991074.987123787</v>
      </c>
    </row>
    <row r="87" spans="1:16" x14ac:dyDescent="0.2">
      <c r="A87" s="3">
        <f t="shared" si="10"/>
        <v>86</v>
      </c>
      <c r="B87" s="6">
        <f t="shared" si="19"/>
        <v>41885250.657726869</v>
      </c>
      <c r="C87" s="9">
        <f t="shared" si="15"/>
        <v>193807.60135343851</v>
      </c>
      <c r="D87" s="9">
        <f t="shared" si="16"/>
        <v>106088.89022040805</v>
      </c>
      <c r="E87" s="9">
        <f t="shared" si="11"/>
        <v>87718.711133030461</v>
      </c>
      <c r="F87" s="9" t="b">
        <v>0</v>
      </c>
      <c r="G87" s="24" t="str">
        <f t="shared" si="17"/>
        <v/>
      </c>
      <c r="H87" s="9"/>
      <c r="M87" s="9">
        <f t="shared" si="12"/>
        <v>210802.01686472524</v>
      </c>
      <c r="N87" s="9">
        <f t="shared" si="13"/>
        <v>106088.89022040805</v>
      </c>
      <c r="O87" s="9">
        <f t="shared" si="14"/>
        <v>87718.711133030461</v>
      </c>
      <c r="P87" s="6">
        <f t="shared" si="18"/>
        <v>41885250.657726869</v>
      </c>
    </row>
    <row r="88" spans="1:16" x14ac:dyDescent="0.2">
      <c r="A88" s="3">
        <f t="shared" si="10"/>
        <v>87</v>
      </c>
      <c r="B88" s="6">
        <f t="shared" si="19"/>
        <v>41779161.767506458</v>
      </c>
      <c r="C88" s="9">
        <f t="shared" si="15"/>
        <v>193629.03034573272</v>
      </c>
      <c r="D88" s="9">
        <f t="shared" si="16"/>
        <v>106354.11244595906</v>
      </c>
      <c r="E88" s="9">
        <f t="shared" si="11"/>
        <v>87274.91789977366</v>
      </c>
      <c r="F88" s="9" t="b">
        <v>0</v>
      </c>
      <c r="G88" s="24" t="str">
        <f t="shared" si="17"/>
        <v/>
      </c>
      <c r="H88" s="9"/>
      <c r="M88" s="9">
        <f t="shared" si="12"/>
        <v>210802.01686472524</v>
      </c>
      <c r="N88" s="9">
        <f t="shared" si="13"/>
        <v>106354.11244595906</v>
      </c>
      <c r="O88" s="9">
        <f t="shared" si="14"/>
        <v>87274.91789977366</v>
      </c>
      <c r="P88" s="6">
        <f t="shared" si="18"/>
        <v>41779161.767506458</v>
      </c>
    </row>
    <row r="89" spans="1:16" x14ac:dyDescent="0.2">
      <c r="A89" s="3">
        <f t="shared" si="10"/>
        <v>88</v>
      </c>
      <c r="B89" s="6">
        <f t="shared" si="19"/>
        <v>41672807.6550605</v>
      </c>
      <c r="C89" s="9">
        <f t="shared" si="15"/>
        <v>193451.14261985745</v>
      </c>
      <c r="D89" s="9">
        <f t="shared" si="16"/>
        <v>106619.99772707398</v>
      </c>
      <c r="E89" s="9">
        <f t="shared" si="11"/>
        <v>86831.144892783486</v>
      </c>
      <c r="F89" s="9" t="b">
        <v>0</v>
      </c>
      <c r="G89" s="24" t="str">
        <f t="shared" si="17"/>
        <v/>
      </c>
      <c r="H89" s="9"/>
      <c r="M89" s="9">
        <f t="shared" si="12"/>
        <v>210802.01686472524</v>
      </c>
      <c r="N89" s="9">
        <f t="shared" si="13"/>
        <v>106619.99772707398</v>
      </c>
      <c r="O89" s="9">
        <f t="shared" si="14"/>
        <v>86831.144892783486</v>
      </c>
      <c r="P89" s="6">
        <f t="shared" si="18"/>
        <v>41672807.6550605</v>
      </c>
    </row>
    <row r="90" spans="1:16" x14ac:dyDescent="0.2">
      <c r="A90" s="3">
        <f t="shared" si="10"/>
        <v>89</v>
      </c>
      <c r="B90" s="6">
        <f t="shared" si="19"/>
        <v>41566187.657333426</v>
      </c>
      <c r="C90" s="9">
        <f t="shared" si="15"/>
        <v>193273.94553962455</v>
      </c>
      <c r="D90" s="9">
        <f t="shared" si="16"/>
        <v>106886.54772139166</v>
      </c>
      <c r="E90" s="9">
        <f t="shared" si="11"/>
        <v>86387.397818232901</v>
      </c>
      <c r="F90" s="9" t="b">
        <v>0</v>
      </c>
      <c r="G90" s="24" t="str">
        <f t="shared" si="17"/>
        <v/>
      </c>
      <c r="H90" s="9"/>
      <c r="M90" s="9">
        <f t="shared" si="12"/>
        <v>210802.01686472524</v>
      </c>
      <c r="N90" s="9">
        <f t="shared" si="13"/>
        <v>106886.54772139166</v>
      </c>
      <c r="O90" s="9">
        <f t="shared" si="14"/>
        <v>86387.397818232901</v>
      </c>
      <c r="P90" s="6">
        <f t="shared" si="18"/>
        <v>41566187.657333426</v>
      </c>
    </row>
    <row r="91" spans="1:16" x14ac:dyDescent="0.2">
      <c r="A91" s="3">
        <f t="shared" si="10"/>
        <v>90</v>
      </c>
      <c r="B91" s="6">
        <f t="shared" si="19"/>
        <v>41459301.109612033</v>
      </c>
      <c r="C91" s="9">
        <f t="shared" si="15"/>
        <v>193097.44651556906</v>
      </c>
      <c r="D91" s="9">
        <f t="shared" si="16"/>
        <v>107153.76409069514</v>
      </c>
      <c r="E91" s="9">
        <f t="shared" si="11"/>
        <v>85943.682424873899</v>
      </c>
      <c r="F91" s="9" t="b">
        <v>0</v>
      </c>
      <c r="G91" s="24" t="str">
        <f t="shared" si="17"/>
        <v/>
      </c>
      <c r="H91" s="9"/>
      <c r="M91" s="9">
        <f t="shared" si="12"/>
        <v>210802.01686472524</v>
      </c>
      <c r="N91" s="9">
        <f t="shared" si="13"/>
        <v>107153.76409069514</v>
      </c>
      <c r="O91" s="9">
        <f t="shared" si="14"/>
        <v>85943.682424873899</v>
      </c>
      <c r="P91" s="6">
        <f t="shared" si="18"/>
        <v>41459301.109612033</v>
      </c>
    </row>
    <row r="92" spans="1:16" x14ac:dyDescent="0.2">
      <c r="A92" s="3">
        <f t="shared" si="10"/>
        <v>91</v>
      </c>
      <c r="B92" s="6">
        <f t="shared" si="19"/>
        <v>41352147.345521338</v>
      </c>
      <c r="C92" s="9">
        <f t="shared" si="15"/>
        <v>192921.65300520731</v>
      </c>
      <c r="D92" s="9">
        <f t="shared" si="16"/>
        <v>107421.6485009219</v>
      </c>
      <c r="E92" s="9">
        <f t="shared" si="11"/>
        <v>85500.004504285404</v>
      </c>
      <c r="F92" s="9" t="b">
        <v>0</v>
      </c>
      <c r="G92" s="24" t="str">
        <f t="shared" si="17"/>
        <v/>
      </c>
      <c r="H92" s="9"/>
      <c r="M92" s="9">
        <f t="shared" si="12"/>
        <v>210802.01686472524</v>
      </c>
      <c r="N92" s="9">
        <f t="shared" si="13"/>
        <v>107421.6485009219</v>
      </c>
      <c r="O92" s="9">
        <f t="shared" si="14"/>
        <v>85500.004504285404</v>
      </c>
      <c r="P92" s="6">
        <f t="shared" si="18"/>
        <v>41352147.345521338</v>
      </c>
    </row>
    <row r="93" spans="1:16" x14ac:dyDescent="0.2">
      <c r="A93" s="3">
        <f t="shared" si="10"/>
        <v>92</v>
      </c>
      <c r="B93" s="6">
        <f t="shared" si="19"/>
        <v>41244725.697020419</v>
      </c>
      <c r="C93" s="9">
        <f t="shared" si="15"/>
        <v>192746.57251329703</v>
      </c>
      <c r="D93" s="9">
        <f t="shared" si="16"/>
        <v>107690.20262217417</v>
      </c>
      <c r="E93" s="9">
        <f t="shared" si="11"/>
        <v>85056.369891122842</v>
      </c>
      <c r="F93" s="9" t="b">
        <v>0</v>
      </c>
      <c r="G93" s="24" t="str">
        <f t="shared" si="17"/>
        <v/>
      </c>
      <c r="H93" s="9"/>
      <c r="M93" s="9">
        <f t="shared" si="12"/>
        <v>210802.01686472524</v>
      </c>
      <c r="N93" s="9">
        <f t="shared" si="13"/>
        <v>107690.20262217417</v>
      </c>
      <c r="O93" s="9">
        <f t="shared" si="14"/>
        <v>85056.369891122842</v>
      </c>
      <c r="P93" s="6">
        <f t="shared" si="18"/>
        <v>41244725.697020419</v>
      </c>
    </row>
    <row r="94" spans="1:16" x14ac:dyDescent="0.2">
      <c r="A94" s="3">
        <f t="shared" si="10"/>
        <v>93</v>
      </c>
      <c r="B94" s="6">
        <f t="shared" si="19"/>
        <v>41137035.494398244</v>
      </c>
      <c r="C94" s="9">
        <f t="shared" si="15"/>
        <v>192572.21259209869</v>
      </c>
      <c r="D94" s="9">
        <f t="shared" si="16"/>
        <v>107959.42812872962</v>
      </c>
      <c r="E94" s="9">
        <f t="shared" si="11"/>
        <v>84612.784463369069</v>
      </c>
      <c r="F94" s="9" t="b">
        <v>0</v>
      </c>
      <c r="G94" s="24" t="str">
        <f t="shared" si="17"/>
        <v/>
      </c>
      <c r="H94" s="9"/>
      <c r="M94" s="9">
        <f t="shared" si="12"/>
        <v>210802.01686472524</v>
      </c>
      <c r="N94" s="9">
        <f t="shared" si="13"/>
        <v>107959.42812872962</v>
      </c>
      <c r="O94" s="9">
        <f t="shared" si="14"/>
        <v>84612.784463369069</v>
      </c>
      <c r="P94" s="6">
        <f t="shared" si="18"/>
        <v>41137035.494398244</v>
      </c>
    </row>
    <row r="95" spans="1:16" x14ac:dyDescent="0.2">
      <c r="A95" s="3">
        <f t="shared" si="10"/>
        <v>94</v>
      </c>
      <c r="B95" s="6">
        <f t="shared" si="19"/>
        <v>41029076.066269517</v>
      </c>
      <c r="C95" s="9">
        <f t="shared" si="15"/>
        <v>192398.58084163794</v>
      </c>
      <c r="D95" s="9">
        <f t="shared" si="16"/>
        <v>108229.32669905145</v>
      </c>
      <c r="E95" s="9">
        <f t="shared" si="11"/>
        <v>84169.254142586491</v>
      </c>
      <c r="F95" s="9" t="b">
        <v>0</v>
      </c>
      <c r="G95" s="24" t="str">
        <f t="shared" si="17"/>
        <v/>
      </c>
      <c r="H95" s="9"/>
      <c r="M95" s="9">
        <f t="shared" si="12"/>
        <v>210802.01686472524</v>
      </c>
      <c r="N95" s="9">
        <f t="shared" si="13"/>
        <v>108229.32669905145</v>
      </c>
      <c r="O95" s="9">
        <f t="shared" si="14"/>
        <v>84169.254142586491</v>
      </c>
      <c r="P95" s="6">
        <f t="shared" si="18"/>
        <v>41029076.066269517</v>
      </c>
    </row>
    <row r="96" spans="1:16" x14ac:dyDescent="0.2">
      <c r="A96" s="3">
        <f t="shared" si="10"/>
        <v>95</v>
      </c>
      <c r="B96" s="6">
        <f t="shared" si="19"/>
        <v>40920846.739570469</v>
      </c>
      <c r="C96" s="9">
        <f t="shared" si="15"/>
        <v>192225.6849099698</v>
      </c>
      <c r="D96" s="9">
        <f t="shared" si="16"/>
        <v>108499.90001579907</v>
      </c>
      <c r="E96" s="9">
        <f t="shared" si="11"/>
        <v>83725.784894170749</v>
      </c>
      <c r="F96" s="9" t="b">
        <v>0</v>
      </c>
      <c r="G96" s="24" t="str">
        <f t="shared" si="17"/>
        <v/>
      </c>
      <c r="H96" s="9"/>
      <c r="M96" s="9">
        <f t="shared" si="12"/>
        <v>210802.01686472524</v>
      </c>
      <c r="N96" s="9">
        <f t="shared" si="13"/>
        <v>108499.90001579907</v>
      </c>
      <c r="O96" s="9">
        <f t="shared" si="14"/>
        <v>83725.784894170749</v>
      </c>
      <c r="P96" s="6">
        <f t="shared" si="18"/>
        <v>40920846.739570469</v>
      </c>
    </row>
    <row r="97" spans="1:16" x14ac:dyDescent="0.2">
      <c r="A97" s="3">
        <f t="shared" si="10"/>
        <v>96</v>
      </c>
      <c r="B97" s="6">
        <f t="shared" si="19"/>
        <v>40812346.839554667</v>
      </c>
      <c r="C97" s="9">
        <f t="shared" si="15"/>
        <v>192053.53249344393</v>
      </c>
      <c r="D97" s="9">
        <f t="shared" si="16"/>
        <v>108771.14976583855</v>
      </c>
      <c r="E97" s="9">
        <f t="shared" si="11"/>
        <v>83282.382727605378</v>
      </c>
      <c r="F97" s="9" t="b">
        <v>0</v>
      </c>
      <c r="G97" s="24" t="str">
        <f t="shared" si="17"/>
        <v/>
      </c>
      <c r="H97" s="9"/>
      <c r="M97" s="9">
        <f t="shared" si="12"/>
        <v>210802.01686472524</v>
      </c>
      <c r="N97" s="9">
        <f t="shared" si="13"/>
        <v>108771.14976583855</v>
      </c>
      <c r="O97" s="9">
        <f t="shared" si="14"/>
        <v>83282.382727605378</v>
      </c>
      <c r="P97" s="6">
        <f t="shared" si="18"/>
        <v>40812346.839554667</v>
      </c>
    </row>
    <row r="98" spans="1:16" x14ac:dyDescent="0.2">
      <c r="A98" s="3">
        <f t="shared" si="10"/>
        <v>97</v>
      </c>
      <c r="B98" s="6">
        <f t="shared" si="19"/>
        <v>40703575.689788826</v>
      </c>
      <c r="C98" s="9">
        <f t="shared" si="15"/>
        <v>191882.13133697156</v>
      </c>
      <c r="D98" s="9">
        <f t="shared" si="16"/>
        <v>109043.07764025316</v>
      </c>
      <c r="E98" s="9">
        <f t="shared" si="11"/>
        <v>82839.053696718402</v>
      </c>
      <c r="F98" s="9" t="b">
        <v>0</v>
      </c>
      <c r="G98" s="24" t="str">
        <f t="shared" si="17"/>
        <v/>
      </c>
      <c r="H98" s="9"/>
      <c r="M98" s="9">
        <f t="shared" si="12"/>
        <v>210802.01686472524</v>
      </c>
      <c r="N98" s="9">
        <f t="shared" si="13"/>
        <v>109043.07764025316</v>
      </c>
      <c r="O98" s="9">
        <f t="shared" si="14"/>
        <v>82839.053696718402</v>
      </c>
      <c r="P98" s="6">
        <f t="shared" si="18"/>
        <v>40703575.689788826</v>
      </c>
    </row>
    <row r="99" spans="1:16" x14ac:dyDescent="0.2">
      <c r="A99" s="3">
        <f t="shared" si="10"/>
        <v>98</v>
      </c>
      <c r="B99" s="6">
        <f t="shared" si="19"/>
        <v>40594532.612148575</v>
      </c>
      <c r="C99" s="9">
        <f t="shared" si="15"/>
        <v>191711.48923429352</v>
      </c>
      <c r="D99" s="9">
        <f t="shared" si="16"/>
        <v>109315.68533435381</v>
      </c>
      <c r="E99" s="9">
        <f t="shared" si="11"/>
        <v>82395.80389993971</v>
      </c>
      <c r="F99" s="9" t="b">
        <v>0</v>
      </c>
      <c r="G99" s="24" t="str">
        <f t="shared" si="17"/>
        <v/>
      </c>
      <c r="H99" s="9"/>
      <c r="M99" s="9">
        <f t="shared" si="12"/>
        <v>210802.01686472524</v>
      </c>
      <c r="N99" s="9">
        <f t="shared" si="13"/>
        <v>109315.68533435381</v>
      </c>
      <c r="O99" s="9">
        <f t="shared" si="14"/>
        <v>82395.80389993971</v>
      </c>
      <c r="P99" s="6">
        <f t="shared" si="18"/>
        <v>40594532.612148575</v>
      </c>
    </row>
    <row r="100" spans="1:16" x14ac:dyDescent="0.2">
      <c r="A100" s="3">
        <f t="shared" si="10"/>
        <v>99</v>
      </c>
      <c r="B100" s="6">
        <f t="shared" si="19"/>
        <v>40485216.926814221</v>
      </c>
      <c r="C100" s="9">
        <f t="shared" si="15"/>
        <v>191541.6140282499</v>
      </c>
      <c r="D100" s="9">
        <f t="shared" si="16"/>
        <v>109588.97454768966</v>
      </c>
      <c r="E100" s="9">
        <f t="shared" si="11"/>
        <v>81952.639480560232</v>
      </c>
      <c r="F100" s="9" t="b">
        <v>0</v>
      </c>
      <c r="G100" s="24" t="str">
        <f t="shared" si="17"/>
        <v/>
      </c>
      <c r="H100" s="9"/>
      <c r="M100" s="9">
        <f t="shared" si="12"/>
        <v>210802.01686472524</v>
      </c>
      <c r="N100" s="9">
        <f t="shared" si="13"/>
        <v>109588.97454768966</v>
      </c>
      <c r="O100" s="9">
        <f t="shared" si="14"/>
        <v>81952.639480560232</v>
      </c>
      <c r="P100" s="6">
        <f t="shared" si="18"/>
        <v>40485216.926814221</v>
      </c>
    </row>
    <row r="101" spans="1:16" x14ac:dyDescent="0.2">
      <c r="A101" s="3">
        <f t="shared" si="10"/>
        <v>100</v>
      </c>
      <c r="B101" s="6">
        <f t="shared" si="19"/>
        <v>40375627.952266529</v>
      </c>
      <c r="C101" s="9">
        <f t="shared" si="15"/>
        <v>191372.5136110512</v>
      </c>
      <c r="D101" s="9">
        <f t="shared" si="16"/>
        <v>109862.9469840589</v>
      </c>
      <c r="E101" s="9">
        <f t="shared" si="11"/>
        <v>81509.566626992309</v>
      </c>
      <c r="F101" s="9" t="b">
        <v>0</v>
      </c>
      <c r="G101" s="24" t="str">
        <f t="shared" si="17"/>
        <v/>
      </c>
      <c r="H101" s="9"/>
      <c r="M101" s="9">
        <f t="shared" si="12"/>
        <v>210802.01686472524</v>
      </c>
      <c r="N101" s="9">
        <f t="shared" si="13"/>
        <v>109862.9469840589</v>
      </c>
      <c r="O101" s="9">
        <f t="shared" si="14"/>
        <v>81509.566626992309</v>
      </c>
      <c r="P101" s="6">
        <f t="shared" si="18"/>
        <v>40375627.952266529</v>
      </c>
    </row>
    <row r="102" spans="1:16" x14ac:dyDescent="0.2">
      <c r="A102" s="3">
        <f t="shared" si="10"/>
        <v>101</v>
      </c>
      <c r="B102" s="6">
        <f t="shared" si="19"/>
        <v>40265765.005282469</v>
      </c>
      <c r="C102" s="9">
        <f t="shared" si="15"/>
        <v>191204.19592455059</v>
      </c>
      <c r="D102" s="9">
        <f t="shared" si="16"/>
        <v>110137.60435151905</v>
      </c>
      <c r="E102" s="9">
        <f t="shared" si="11"/>
        <v>81066.591573031532</v>
      </c>
      <c r="F102" s="9" t="b">
        <v>0</v>
      </c>
      <c r="G102" s="24" t="str">
        <f t="shared" si="17"/>
        <v/>
      </c>
      <c r="H102" s="9"/>
      <c r="M102" s="9">
        <f t="shared" si="12"/>
        <v>210802.01686472524</v>
      </c>
      <c r="N102" s="9">
        <f t="shared" si="13"/>
        <v>110137.60435151905</v>
      </c>
      <c r="O102" s="9">
        <f t="shared" si="14"/>
        <v>81066.591573031532</v>
      </c>
      <c r="P102" s="6">
        <f t="shared" si="18"/>
        <v>40265765.005282469</v>
      </c>
    </row>
    <row r="103" spans="1:16" x14ac:dyDescent="0.2">
      <c r="A103" s="3">
        <f t="shared" si="10"/>
        <v>102</v>
      </c>
      <c r="B103" s="6">
        <f t="shared" si="19"/>
        <v>40155627.400930949</v>
      </c>
      <c r="C103" s="9">
        <f t="shared" si="15"/>
        <v>191036.66896051774</v>
      </c>
      <c r="D103" s="9">
        <f t="shared" si="16"/>
        <v>110412.94836239787</v>
      </c>
      <c r="E103" s="9">
        <f t="shared" si="11"/>
        <v>80623.720598119849</v>
      </c>
      <c r="F103" s="9" t="b">
        <v>0</v>
      </c>
      <c r="G103" s="24" t="str">
        <f t="shared" si="17"/>
        <v/>
      </c>
      <c r="H103" s="9"/>
      <c r="M103" s="9">
        <f t="shared" si="12"/>
        <v>210802.01686472524</v>
      </c>
      <c r="N103" s="9">
        <f t="shared" si="13"/>
        <v>110412.94836239787</v>
      </c>
      <c r="O103" s="9">
        <f t="shared" si="14"/>
        <v>80623.720598119849</v>
      </c>
      <c r="P103" s="6">
        <f t="shared" si="18"/>
        <v>40155627.400930949</v>
      </c>
    </row>
    <row r="104" spans="1:16" x14ac:dyDescent="0.2">
      <c r="A104" s="3">
        <f t="shared" si="10"/>
        <v>103</v>
      </c>
      <c r="B104" s="6">
        <f t="shared" si="19"/>
        <v>40045214.452568553</v>
      </c>
      <c r="C104" s="9">
        <f t="shared" si="15"/>
        <v>190869.94076091415</v>
      </c>
      <c r="D104" s="9">
        <f t="shared" si="16"/>
        <v>110688.98073330386</v>
      </c>
      <c r="E104" s="9">
        <f t="shared" si="11"/>
        <v>80180.960027610286</v>
      </c>
      <c r="F104" s="9" t="b">
        <v>0</v>
      </c>
      <c r="G104" s="24" t="str">
        <f t="shared" si="17"/>
        <v/>
      </c>
      <c r="H104" s="9"/>
      <c r="M104" s="9">
        <f t="shared" si="12"/>
        <v>210802.01686472524</v>
      </c>
      <c r="N104" s="9">
        <f t="shared" si="13"/>
        <v>110688.98073330386</v>
      </c>
      <c r="O104" s="9">
        <f t="shared" si="14"/>
        <v>80180.960027610286</v>
      </c>
      <c r="P104" s="6">
        <f t="shared" si="18"/>
        <v>40045214.452568553</v>
      </c>
    </row>
    <row r="105" spans="1:16" x14ac:dyDescent="0.2">
      <c r="A105" s="3">
        <f t="shared" si="10"/>
        <v>104</v>
      </c>
      <c r="B105" s="6">
        <f t="shared" si="19"/>
        <v>39934525.471835248</v>
      </c>
      <c r="C105" s="9">
        <f t="shared" si="15"/>
        <v>190704.01941817004</v>
      </c>
      <c r="D105" s="9">
        <f t="shared" si="16"/>
        <v>110965.7031851371</v>
      </c>
      <c r="E105" s="9">
        <f t="shared" si="11"/>
        <v>79738.316233032936</v>
      </c>
      <c r="F105" s="9" t="b">
        <v>0</v>
      </c>
      <c r="G105" s="24" t="str">
        <f t="shared" si="17"/>
        <v/>
      </c>
      <c r="H105" s="9"/>
      <c r="M105" s="9">
        <f t="shared" si="12"/>
        <v>210802.01686472524</v>
      </c>
      <c r="N105" s="9">
        <f t="shared" si="13"/>
        <v>110965.7031851371</v>
      </c>
      <c r="O105" s="9">
        <f t="shared" si="14"/>
        <v>79738.316233032936</v>
      </c>
      <c r="P105" s="6">
        <f t="shared" si="18"/>
        <v>39934525.471835248</v>
      </c>
    </row>
    <row r="106" spans="1:16" x14ac:dyDescent="0.2">
      <c r="A106" s="3">
        <f t="shared" si="10"/>
        <v>105</v>
      </c>
      <c r="B106" s="6">
        <f t="shared" si="19"/>
        <v>39823559.768650115</v>
      </c>
      <c r="C106" s="9">
        <f t="shared" si="15"/>
        <v>190538.91307546233</v>
      </c>
      <c r="D106" s="9">
        <f t="shared" si="16"/>
        <v>111243.11744309994</v>
      </c>
      <c r="E106" s="9">
        <f t="shared" si="11"/>
        <v>79295.795632362395</v>
      </c>
      <c r="F106" s="9" t="b">
        <v>0</v>
      </c>
      <c r="G106" s="24" t="str">
        <f t="shared" si="17"/>
        <v/>
      </c>
      <c r="H106" s="9"/>
      <c r="M106" s="9">
        <f t="shared" si="12"/>
        <v>210802.01686472524</v>
      </c>
      <c r="N106" s="9">
        <f t="shared" si="13"/>
        <v>111243.11744309994</v>
      </c>
      <c r="O106" s="9">
        <f t="shared" si="14"/>
        <v>79295.795632362395</v>
      </c>
      <c r="P106" s="6">
        <f t="shared" si="18"/>
        <v>39823559.768650115</v>
      </c>
    </row>
    <row r="107" spans="1:16" x14ac:dyDescent="0.2">
      <c r="A107" s="3">
        <f t="shared" si="10"/>
        <v>106</v>
      </c>
      <c r="B107" s="6">
        <f t="shared" si="19"/>
        <v>39712316.651207015</v>
      </c>
      <c r="C107" s="9">
        <f t="shared" si="15"/>
        <v>190374.62992699441</v>
      </c>
      <c r="D107" s="9">
        <f t="shared" si="16"/>
        <v>111521.2252367077</v>
      </c>
      <c r="E107" s="9">
        <f t="shared" si="11"/>
        <v>78853.404690286712</v>
      </c>
      <c r="F107" s="9" t="b">
        <v>0</v>
      </c>
      <c r="G107" s="24" t="str">
        <f t="shared" si="17"/>
        <v/>
      </c>
      <c r="H107" s="9"/>
      <c r="M107" s="9">
        <f t="shared" si="12"/>
        <v>210802.01686472524</v>
      </c>
      <c r="N107" s="9">
        <f t="shared" si="13"/>
        <v>111521.2252367077</v>
      </c>
      <c r="O107" s="9">
        <f t="shared" si="14"/>
        <v>78853.404690286712</v>
      </c>
      <c r="P107" s="6">
        <f t="shared" si="18"/>
        <v>39712316.651207015</v>
      </c>
    </row>
    <row r="108" spans="1:16" x14ac:dyDescent="0.2">
      <c r="A108" s="3">
        <f t="shared" si="10"/>
        <v>107</v>
      </c>
      <c r="B108" s="6">
        <f t="shared" si="19"/>
        <v>39600795.425970308</v>
      </c>
      <c r="C108" s="9">
        <f t="shared" si="15"/>
        <v>190211.178218277</v>
      </c>
      <c r="D108" s="9">
        <f t="shared" si="16"/>
        <v>111800.02829979947</v>
      </c>
      <c r="E108" s="9">
        <f t="shared" si="11"/>
        <v>78411.149918477546</v>
      </c>
      <c r="F108" s="9" t="b">
        <v>0</v>
      </c>
      <c r="G108" s="24" t="str">
        <f t="shared" si="17"/>
        <v/>
      </c>
      <c r="H108" s="9"/>
      <c r="M108" s="9">
        <f t="shared" si="12"/>
        <v>210802.01686472524</v>
      </c>
      <c r="N108" s="9">
        <f t="shared" si="13"/>
        <v>111800.02829979947</v>
      </c>
      <c r="O108" s="9">
        <f t="shared" si="14"/>
        <v>78411.149918477546</v>
      </c>
      <c r="P108" s="6">
        <f t="shared" si="18"/>
        <v>39600795.425970308</v>
      </c>
    </row>
    <row r="109" spans="1:16" x14ac:dyDescent="0.2">
      <c r="A109" s="3">
        <f t="shared" si="10"/>
        <v>108</v>
      </c>
      <c r="B109" s="6">
        <f t="shared" si="19"/>
        <v>39488995.397670507</v>
      </c>
      <c r="C109" s="9">
        <f t="shared" si="15"/>
        <v>190048.56624641109</v>
      </c>
      <c r="D109" s="9">
        <f t="shared" si="16"/>
        <v>112079.52837054896</v>
      </c>
      <c r="E109" s="9">
        <f t="shared" si="11"/>
        <v>77969.037875862137</v>
      </c>
      <c r="F109" s="9" t="b">
        <v>0</v>
      </c>
      <c r="G109" s="24" t="str">
        <f t="shared" si="17"/>
        <v/>
      </c>
      <c r="H109" s="9"/>
      <c r="M109" s="9">
        <f t="shared" si="12"/>
        <v>210802.01686472524</v>
      </c>
      <c r="N109" s="9">
        <f t="shared" si="13"/>
        <v>112079.52837054896</v>
      </c>
      <c r="O109" s="9">
        <f t="shared" si="14"/>
        <v>77969.037875862137</v>
      </c>
      <c r="P109" s="6">
        <f t="shared" si="18"/>
        <v>39488995.397670507</v>
      </c>
    </row>
    <row r="110" spans="1:16" x14ac:dyDescent="0.2">
      <c r="A110" s="3">
        <f t="shared" si="10"/>
        <v>109</v>
      </c>
      <c r="B110" s="6">
        <f t="shared" si="19"/>
        <v>39376915.869299956</v>
      </c>
      <c r="C110" s="9">
        <f t="shared" si="15"/>
        <v>189886.80236037169</v>
      </c>
      <c r="D110" s="9">
        <f t="shared" si="16"/>
        <v>112359.72719147535</v>
      </c>
      <c r="E110" s="9">
        <f t="shared" si="11"/>
        <v>77527.075168896336</v>
      </c>
      <c r="F110" s="9" t="b">
        <v>0</v>
      </c>
      <c r="G110" s="24" t="str">
        <f t="shared" si="17"/>
        <v/>
      </c>
      <c r="H110" s="9"/>
      <c r="M110" s="9">
        <f t="shared" si="12"/>
        <v>210802.01686472524</v>
      </c>
      <c r="N110" s="9">
        <f t="shared" si="13"/>
        <v>112359.72719147535</v>
      </c>
      <c r="O110" s="9">
        <f t="shared" si="14"/>
        <v>77527.075168896336</v>
      </c>
      <c r="P110" s="6">
        <f t="shared" si="18"/>
        <v>39376915.869299956</v>
      </c>
    </row>
    <row r="111" spans="1:16" x14ac:dyDescent="0.2">
      <c r="A111" s="3">
        <f t="shared" si="10"/>
        <v>110</v>
      </c>
      <c r="B111" s="6">
        <f t="shared" si="19"/>
        <v>39264556.142108478</v>
      </c>
      <c r="C111" s="9">
        <f t="shared" si="15"/>
        <v>189725.8949612935</v>
      </c>
      <c r="D111" s="9">
        <f t="shared" si="16"/>
        <v>112640.62650945403</v>
      </c>
      <c r="E111" s="9">
        <f t="shared" si="11"/>
        <v>77085.268451839453</v>
      </c>
      <c r="F111" s="9" t="b">
        <v>0</v>
      </c>
      <c r="G111" s="24" t="str">
        <f t="shared" si="17"/>
        <v/>
      </c>
      <c r="H111" s="9"/>
      <c r="M111" s="9">
        <f t="shared" si="12"/>
        <v>210802.01686472524</v>
      </c>
      <c r="N111" s="9">
        <f t="shared" si="13"/>
        <v>112640.62650945403</v>
      </c>
      <c r="O111" s="9">
        <f t="shared" si="14"/>
        <v>77085.268451839453</v>
      </c>
      <c r="P111" s="6">
        <f t="shared" si="18"/>
        <v>39264556.142108478</v>
      </c>
    </row>
    <row r="112" spans="1:16" x14ac:dyDescent="0.2">
      <c r="A112" s="3">
        <f t="shared" si="10"/>
        <v>111</v>
      </c>
      <c r="B112" s="6">
        <f t="shared" si="19"/>
        <v>39151915.515599027</v>
      </c>
      <c r="C112" s="9">
        <f t="shared" si="15"/>
        <v>189565.85250275786</v>
      </c>
      <c r="D112" s="9">
        <f t="shared" si="16"/>
        <v>112922.22807572766</v>
      </c>
      <c r="E112" s="9">
        <f t="shared" si="11"/>
        <v>76643.624427030198</v>
      </c>
      <c r="F112" s="9" t="b">
        <v>0</v>
      </c>
      <c r="G112" s="24" t="str">
        <f t="shared" si="17"/>
        <v/>
      </c>
      <c r="H112" s="9"/>
      <c r="M112" s="9">
        <f t="shared" si="12"/>
        <v>210802.01686472524</v>
      </c>
      <c r="N112" s="9">
        <f t="shared" si="13"/>
        <v>112922.22807572766</v>
      </c>
      <c r="O112" s="9">
        <f t="shared" si="14"/>
        <v>76643.624427030198</v>
      </c>
      <c r="P112" s="6">
        <f t="shared" si="18"/>
        <v>39151915.515599027</v>
      </c>
    </row>
    <row r="113" spans="1:16" x14ac:dyDescent="0.2">
      <c r="A113" s="3">
        <f t="shared" si="10"/>
        <v>112</v>
      </c>
      <c r="B113" s="6">
        <f t="shared" si="19"/>
        <v>39038993.287523299</v>
      </c>
      <c r="C113" s="9">
        <f t="shared" si="15"/>
        <v>189406.68349108147</v>
      </c>
      <c r="D113" s="9">
        <f t="shared" si="16"/>
        <v>113204.53364591698</v>
      </c>
      <c r="E113" s="9">
        <f t="shared" si="11"/>
        <v>76202.149845164473</v>
      </c>
      <c r="F113" s="9" t="b">
        <v>0</v>
      </c>
      <c r="G113" s="24" t="str">
        <f t="shared" si="17"/>
        <v/>
      </c>
      <c r="H113" s="9"/>
      <c r="M113" s="9">
        <f t="shared" si="12"/>
        <v>210802.01686472524</v>
      </c>
      <c r="N113" s="9">
        <f t="shared" si="13"/>
        <v>113204.53364591698</v>
      </c>
      <c r="O113" s="9">
        <f t="shared" si="14"/>
        <v>76202.149845164473</v>
      </c>
      <c r="P113" s="6">
        <f t="shared" si="18"/>
        <v>39038993.287523299</v>
      </c>
    </row>
    <row r="114" spans="1:16" x14ac:dyDescent="0.2">
      <c r="A114" s="3">
        <f t="shared" si="10"/>
        <v>113</v>
      </c>
      <c r="B114" s="6">
        <f t="shared" si="19"/>
        <v>38925788.753877379</v>
      </c>
      <c r="C114" s="9">
        <f t="shared" si="15"/>
        <v>189248.39648560612</v>
      </c>
      <c r="D114" s="9">
        <f t="shared" si="16"/>
        <v>113487.54498003177</v>
      </c>
      <c r="E114" s="9">
        <f t="shared" si="11"/>
        <v>75760.851505574348</v>
      </c>
      <c r="F114" s="9" t="b">
        <v>0</v>
      </c>
      <c r="G114" s="24" t="str">
        <f t="shared" si="17"/>
        <v/>
      </c>
      <c r="H114" s="9"/>
      <c r="M114" s="9">
        <f t="shared" si="12"/>
        <v>210802.01686472524</v>
      </c>
      <c r="N114" s="9">
        <f t="shared" si="13"/>
        <v>113487.54498003177</v>
      </c>
      <c r="O114" s="9">
        <f t="shared" si="14"/>
        <v>75760.851505574348</v>
      </c>
      <c r="P114" s="6">
        <f t="shared" si="18"/>
        <v>38925788.753877379</v>
      </c>
    </row>
    <row r="115" spans="1:16" x14ac:dyDescent="0.2">
      <c r="A115" s="3">
        <f t="shared" si="10"/>
        <v>114</v>
      </c>
      <c r="B115" s="6">
        <f t="shared" si="19"/>
        <v>38812301.208897345</v>
      </c>
      <c r="C115" s="9">
        <f t="shared" si="15"/>
        <v>189091.00009899057</v>
      </c>
      <c r="D115" s="9">
        <f t="shared" si="16"/>
        <v>113771.26384248184</v>
      </c>
      <c r="E115" s="9">
        <f t="shared" si="11"/>
        <v>75319.736256508739</v>
      </c>
      <c r="F115" s="9" t="b">
        <v>0</v>
      </c>
      <c r="G115" s="24" t="str">
        <f t="shared" si="17"/>
        <v/>
      </c>
      <c r="H115" s="9"/>
      <c r="M115" s="9">
        <f t="shared" si="12"/>
        <v>210802.01686472524</v>
      </c>
      <c r="N115" s="9">
        <f t="shared" si="13"/>
        <v>113771.26384248184</v>
      </c>
      <c r="O115" s="9">
        <f t="shared" si="14"/>
        <v>75319.736256508739</v>
      </c>
      <c r="P115" s="6">
        <f t="shared" si="18"/>
        <v>38812301.208897345</v>
      </c>
    </row>
    <row r="116" spans="1:16" x14ac:dyDescent="0.2">
      <c r="A116" s="3">
        <f t="shared" si="10"/>
        <v>115</v>
      </c>
      <c r="B116" s="6">
        <f t="shared" si="19"/>
        <v>38698529.945054866</v>
      </c>
      <c r="C116" s="9">
        <f t="shared" si="15"/>
        <v>188934.50299750347</v>
      </c>
      <c r="D116" s="9">
        <f t="shared" si="16"/>
        <v>114055.69200208806</v>
      </c>
      <c r="E116" s="9">
        <f t="shared" si="11"/>
        <v>74878.810995415406</v>
      </c>
      <c r="F116" s="9" t="b">
        <v>0</v>
      </c>
      <c r="G116" s="24" t="str">
        <f t="shared" si="17"/>
        <v/>
      </c>
      <c r="H116" s="9"/>
      <c r="M116" s="9">
        <f t="shared" si="12"/>
        <v>210802.01686472524</v>
      </c>
      <c r="N116" s="9">
        <f t="shared" si="13"/>
        <v>114055.69200208806</v>
      </c>
      <c r="O116" s="9">
        <f t="shared" si="14"/>
        <v>74878.810995415406</v>
      </c>
      <c r="P116" s="6">
        <f t="shared" si="18"/>
        <v>38698529.945054866</v>
      </c>
    </row>
    <row r="117" spans="1:16" x14ac:dyDescent="0.2">
      <c r="A117" s="3">
        <f t="shared" si="10"/>
        <v>116</v>
      </c>
      <c r="B117" s="6">
        <f t="shared" si="19"/>
        <v>38584474.253052779</v>
      </c>
      <c r="C117" s="9">
        <f t="shared" si="15"/>
        <v>188778.91390131792</v>
      </c>
      <c r="D117" s="9">
        <f t="shared" si="16"/>
        <v>114340.83123209327</v>
      </c>
      <c r="E117" s="9">
        <f t="shared" si="11"/>
        <v>74438.082669224634</v>
      </c>
      <c r="F117" s="9" t="b">
        <v>0</v>
      </c>
      <c r="G117" s="24" t="str">
        <f t="shared" si="17"/>
        <v/>
      </c>
      <c r="H117" s="9"/>
      <c r="M117" s="9">
        <f t="shared" si="12"/>
        <v>210802.01686472524</v>
      </c>
      <c r="N117" s="9">
        <f t="shared" si="13"/>
        <v>114340.83123209327</v>
      </c>
      <c r="O117" s="9">
        <f t="shared" si="14"/>
        <v>74438.082669224634</v>
      </c>
      <c r="P117" s="6">
        <f t="shared" si="18"/>
        <v>38584474.253052779</v>
      </c>
    </row>
    <row r="118" spans="1:16" x14ac:dyDescent="0.2">
      <c r="A118" s="3">
        <f t="shared" si="10"/>
        <v>117</v>
      </c>
      <c r="B118" s="6">
        <f t="shared" si="19"/>
        <v>38470133.421820685</v>
      </c>
      <c r="C118" s="9">
        <f t="shared" si="15"/>
        <v>188624.24158480775</v>
      </c>
      <c r="D118" s="9">
        <f t="shared" si="16"/>
        <v>114626.68331017351</v>
      </c>
      <c r="E118" s="9">
        <f t="shared" si="11"/>
        <v>73997.558274634255</v>
      </c>
      <c r="F118" s="9" t="b">
        <v>0</v>
      </c>
      <c r="G118" s="24" t="str">
        <f t="shared" si="17"/>
        <v/>
      </c>
      <c r="H118" s="9"/>
      <c r="M118" s="9">
        <f t="shared" si="12"/>
        <v>210802.01686472524</v>
      </c>
      <c r="N118" s="9">
        <f t="shared" si="13"/>
        <v>114626.68331017351</v>
      </c>
      <c r="O118" s="9">
        <f t="shared" si="14"/>
        <v>73997.558274634255</v>
      </c>
      <c r="P118" s="6">
        <f t="shared" si="18"/>
        <v>38470133.421820685</v>
      </c>
    </row>
    <row r="119" spans="1:16" x14ac:dyDescent="0.2">
      <c r="A119" s="3">
        <f t="shared" si="10"/>
        <v>118</v>
      </c>
      <c r="B119" s="6">
        <f t="shared" si="19"/>
        <v>38355506.738510512</v>
      </c>
      <c r="C119" s="9">
        <f t="shared" si="15"/>
        <v>188470.49487684522</v>
      </c>
      <c r="D119" s="9">
        <f t="shared" si="16"/>
        <v>114913.25001844895</v>
      </c>
      <c r="E119" s="9">
        <f t="shared" si="11"/>
        <v>73557.244858396283</v>
      </c>
      <c r="F119" s="9" t="b">
        <v>0</v>
      </c>
      <c r="G119" s="24" t="str">
        <f t="shared" si="17"/>
        <v/>
      </c>
      <c r="H119" s="9"/>
      <c r="M119" s="9">
        <f t="shared" si="12"/>
        <v>210802.01686472524</v>
      </c>
      <c r="N119" s="9">
        <f t="shared" si="13"/>
        <v>114913.25001844895</v>
      </c>
      <c r="O119" s="9">
        <f t="shared" si="14"/>
        <v>73557.244858396283</v>
      </c>
      <c r="P119" s="6">
        <f t="shared" si="18"/>
        <v>38355506.738510512</v>
      </c>
    </row>
    <row r="120" spans="1:16" x14ac:dyDescent="0.2">
      <c r="A120" s="3">
        <f t="shared" si="10"/>
        <v>119</v>
      </c>
      <c r="B120" s="6">
        <f t="shared" si="19"/>
        <v>38240593.488492064</v>
      </c>
      <c r="C120" s="9">
        <f t="shared" si="15"/>
        <v>188317.68266110017</v>
      </c>
      <c r="D120" s="9">
        <f t="shared" si="16"/>
        <v>115200.53314349506</v>
      </c>
      <c r="E120" s="9">
        <f t="shared" si="11"/>
        <v>73117.149517605096</v>
      </c>
      <c r="F120" s="9" t="b">
        <v>0</v>
      </c>
      <c r="G120" s="24" t="str">
        <f t="shared" si="17"/>
        <v/>
      </c>
      <c r="H120" s="9"/>
      <c r="M120" s="9">
        <f t="shared" si="12"/>
        <v>210802.01686472524</v>
      </c>
      <c r="N120" s="9">
        <f t="shared" si="13"/>
        <v>115200.53314349506</v>
      </c>
      <c r="O120" s="9">
        <f t="shared" si="14"/>
        <v>73117.149517605096</v>
      </c>
      <c r="P120" s="6">
        <f t="shared" si="18"/>
        <v>38240593.488492064</v>
      </c>
    </row>
    <row r="121" spans="1:16" x14ac:dyDescent="0.2">
      <c r="A121" s="3">
        <f t="shared" si="10"/>
        <v>120</v>
      </c>
      <c r="B121" s="6">
        <f t="shared" si="19"/>
        <v>38125392.955348566</v>
      </c>
      <c r="C121" s="9">
        <f t="shared" si="15"/>
        <v>188165.81387634092</v>
      </c>
      <c r="D121" s="9">
        <f t="shared" si="16"/>
        <v>115488.5344763538</v>
      </c>
      <c r="E121" s="9">
        <f t="shared" si="11"/>
        <v>72677.279399987136</v>
      </c>
      <c r="F121" s="9" t="b">
        <v>0</v>
      </c>
      <c r="G121" s="24" t="str">
        <f t="shared" si="17"/>
        <v/>
      </c>
      <c r="H121" s="9"/>
      <c r="M121" s="9">
        <f t="shared" si="12"/>
        <v>210802.01686472524</v>
      </c>
      <c r="N121" s="9">
        <f t="shared" si="13"/>
        <v>115488.5344763538</v>
      </c>
      <c r="O121" s="9">
        <f t="shared" si="14"/>
        <v>72677.279399987136</v>
      </c>
      <c r="P121" s="6">
        <f t="shared" si="18"/>
        <v>38125392.955348566</v>
      </c>
    </row>
    <row r="122" spans="1:16" x14ac:dyDescent="0.2">
      <c r="A122" s="3">
        <f t="shared" si="10"/>
        <v>121</v>
      </c>
      <c r="B122" s="6">
        <f t="shared" si="19"/>
        <v>38009904.420872211</v>
      </c>
      <c r="C122" s="9">
        <f t="shared" si="15"/>
        <v>188014.89751673676</v>
      </c>
      <c r="D122" s="9">
        <f t="shared" si="16"/>
        <v>115777.2558125447</v>
      </c>
      <c r="E122" s="9">
        <f t="shared" si="11"/>
        <v>72237.641704192065</v>
      </c>
      <c r="F122" s="9" t="b">
        <v>0</v>
      </c>
      <c r="G122" s="24" t="str">
        <f t="shared" si="17"/>
        <v/>
      </c>
      <c r="H122" s="9"/>
      <c r="M122" s="9">
        <f t="shared" si="12"/>
        <v>210802.01686472524</v>
      </c>
      <c r="N122" s="9">
        <f t="shared" si="13"/>
        <v>115777.2558125447</v>
      </c>
      <c r="O122" s="9">
        <f t="shared" si="14"/>
        <v>72237.641704192065</v>
      </c>
      <c r="P122" s="6">
        <f t="shared" si="18"/>
        <v>38009904.420872211</v>
      </c>
    </row>
    <row r="123" spans="1:16" x14ac:dyDescent="0.2">
      <c r="A123" s="3">
        <f t="shared" si="10"/>
        <v>122</v>
      </c>
      <c r="B123" s="6">
        <f t="shared" si="19"/>
        <v>37894127.165059663</v>
      </c>
      <c r="C123" s="9">
        <f t="shared" si="15"/>
        <v>187864.94263216172</v>
      </c>
      <c r="D123" s="9">
        <f t="shared" si="16"/>
        <v>116066.69895207607</v>
      </c>
      <c r="E123" s="9">
        <f t="shared" si="11"/>
        <v>71798.243680085638</v>
      </c>
      <c r="F123" s="9" t="b">
        <v>0</v>
      </c>
      <c r="G123" s="24" t="str">
        <f t="shared" si="17"/>
        <v/>
      </c>
      <c r="H123" s="9"/>
      <c r="M123" s="9">
        <f t="shared" si="12"/>
        <v>210802.01686472524</v>
      </c>
      <c r="N123" s="9">
        <f t="shared" si="13"/>
        <v>116066.69895207607</v>
      </c>
      <c r="O123" s="9">
        <f t="shared" si="14"/>
        <v>71798.243680085638</v>
      </c>
      <c r="P123" s="6">
        <f t="shared" si="18"/>
        <v>37894127.165059663</v>
      </c>
    </row>
    <row r="124" spans="1:16" x14ac:dyDescent="0.2">
      <c r="A124" s="3">
        <f t="shared" si="10"/>
        <v>123</v>
      </c>
      <c r="B124" s="6">
        <f t="shared" si="19"/>
        <v>37778060.466107585</v>
      </c>
      <c r="C124" s="9">
        <f t="shared" si="15"/>
        <v>187715.95832850033</v>
      </c>
      <c r="D124" s="9">
        <f t="shared" si="16"/>
        <v>116356.86569945625</v>
      </c>
      <c r="E124" s="9">
        <f t="shared" si="11"/>
        <v>71359.092629044069</v>
      </c>
      <c r="F124" s="9" t="b">
        <v>0</v>
      </c>
      <c r="G124" s="24" t="str">
        <f t="shared" si="17"/>
        <v/>
      </c>
      <c r="H124" s="9"/>
      <c r="M124" s="9">
        <f t="shared" si="12"/>
        <v>210802.01686472524</v>
      </c>
      <c r="N124" s="9">
        <f t="shared" si="13"/>
        <v>116356.86569945625</v>
      </c>
      <c r="O124" s="9">
        <f t="shared" si="14"/>
        <v>71359.092629044069</v>
      </c>
      <c r="P124" s="6">
        <f t="shared" si="18"/>
        <v>37778060.466107585</v>
      </c>
    </row>
    <row r="125" spans="1:16" x14ac:dyDescent="0.2">
      <c r="A125" s="3">
        <f t="shared" si="10"/>
        <v>124</v>
      </c>
      <c r="B125" s="6">
        <f t="shared" si="19"/>
        <v>37661703.600408129</v>
      </c>
      <c r="C125" s="9">
        <f t="shared" si="15"/>
        <v>187567.95376795466</v>
      </c>
      <c r="D125" s="9">
        <f t="shared" si="16"/>
        <v>116647.75786370489</v>
      </c>
      <c r="E125" s="9">
        <f t="shared" si="11"/>
        <v>70920.195904249762</v>
      </c>
      <c r="F125" s="9" t="b">
        <v>0</v>
      </c>
      <c r="G125" s="24" t="str">
        <f t="shared" si="17"/>
        <v/>
      </c>
      <c r="H125" s="9"/>
      <c r="M125" s="9">
        <f t="shared" si="12"/>
        <v>210802.01686472524</v>
      </c>
      <c r="N125" s="9">
        <f t="shared" si="13"/>
        <v>116647.75786370489</v>
      </c>
      <c r="O125" s="9">
        <f t="shared" si="14"/>
        <v>70920.195904249762</v>
      </c>
      <c r="P125" s="6">
        <f t="shared" si="18"/>
        <v>37661703.600408129</v>
      </c>
    </row>
    <row r="126" spans="1:16" x14ac:dyDescent="0.2">
      <c r="A126" s="3">
        <f t="shared" si="10"/>
        <v>125</v>
      </c>
      <c r="B126" s="6">
        <f t="shared" si="19"/>
        <v>37545055.842544422</v>
      </c>
      <c r="C126" s="9">
        <f t="shared" si="15"/>
        <v>187420.93816935312</v>
      </c>
      <c r="D126" s="9">
        <f t="shared" si="16"/>
        <v>116939.37725836415</v>
      </c>
      <c r="E126" s="9">
        <f t="shared" si="11"/>
        <v>70481.560910988977</v>
      </c>
      <c r="F126" s="9" t="b">
        <v>0</v>
      </c>
      <c r="G126" s="24" t="str">
        <f t="shared" si="17"/>
        <v/>
      </c>
      <c r="H126" s="9"/>
      <c r="M126" s="9">
        <f t="shared" si="12"/>
        <v>210802.01686472524</v>
      </c>
      <c r="N126" s="9">
        <f t="shared" si="13"/>
        <v>116939.37725836415</v>
      </c>
      <c r="O126" s="9">
        <f t="shared" si="14"/>
        <v>70481.560910988977</v>
      </c>
      <c r="P126" s="6">
        <f t="shared" si="18"/>
        <v>37545055.842544422</v>
      </c>
    </row>
    <row r="127" spans="1:16" x14ac:dyDescent="0.2">
      <c r="A127" s="3">
        <f t="shared" si="10"/>
        <v>126</v>
      </c>
      <c r="B127" s="6">
        <f t="shared" si="19"/>
        <v>37428116.465286054</v>
      </c>
      <c r="C127" s="9">
        <f t="shared" si="15"/>
        <v>187274.92080846097</v>
      </c>
      <c r="D127" s="9">
        <f t="shared" si="16"/>
        <v>117231.72570151005</v>
      </c>
      <c r="E127" s="9">
        <f t="shared" si="11"/>
        <v>70043.195106950909</v>
      </c>
      <c r="F127" s="9" t="b">
        <v>0</v>
      </c>
      <c r="G127" s="24" t="str">
        <f t="shared" si="17"/>
        <v/>
      </c>
      <c r="H127" s="9"/>
      <c r="M127" s="9">
        <f t="shared" si="12"/>
        <v>210802.01686472524</v>
      </c>
      <c r="N127" s="9">
        <f t="shared" si="13"/>
        <v>117231.72570151005</v>
      </c>
      <c r="O127" s="9">
        <f t="shared" si="14"/>
        <v>70043.195106950909</v>
      </c>
      <c r="P127" s="6">
        <f t="shared" si="18"/>
        <v>37428116.465286054</v>
      </c>
    </row>
    <row r="128" spans="1:16" x14ac:dyDescent="0.2">
      <c r="A128" s="3">
        <f t="shared" si="10"/>
        <v>127</v>
      </c>
      <c r="B128" s="6">
        <f t="shared" si="19"/>
        <v>37310884.739584543</v>
      </c>
      <c r="C128" s="9">
        <f t="shared" si="15"/>
        <v>187129.91101829201</v>
      </c>
      <c r="D128" s="9">
        <f t="shared" si="16"/>
        <v>117524.80501576385</v>
      </c>
      <c r="E128" s="9">
        <f t="shared" si="11"/>
        <v>69605.106002528177</v>
      </c>
      <c r="F128" s="9" t="b">
        <v>0</v>
      </c>
      <c r="G128" s="24" t="str">
        <f t="shared" si="17"/>
        <v/>
      </c>
      <c r="H128" s="9"/>
      <c r="M128" s="9">
        <f t="shared" si="12"/>
        <v>210802.01686472524</v>
      </c>
      <c r="N128" s="9">
        <f t="shared" si="13"/>
        <v>117524.80501576385</v>
      </c>
      <c r="O128" s="9">
        <f t="shared" si="14"/>
        <v>69605.106002528177</v>
      </c>
      <c r="P128" s="6">
        <f t="shared" si="18"/>
        <v>37310884.739584543</v>
      </c>
    </row>
    <row r="129" spans="1:16" x14ac:dyDescent="0.2">
      <c r="A129" s="3">
        <f t="shared" si="10"/>
        <v>128</v>
      </c>
      <c r="B129" s="6">
        <f t="shared" si="19"/>
        <v>37193359.934568778</v>
      </c>
      <c r="C129" s="9">
        <f t="shared" si="15"/>
        <v>186985.91818942258</v>
      </c>
      <c r="D129" s="9">
        <f t="shared" si="16"/>
        <v>117818.61702830324</v>
      </c>
      <c r="E129" s="9">
        <f t="shared" si="11"/>
        <v>69167.301161119321</v>
      </c>
      <c r="F129" s="9" t="b">
        <v>0</v>
      </c>
      <c r="G129" s="24" t="str">
        <f t="shared" si="17"/>
        <v/>
      </c>
      <c r="H129" s="9"/>
      <c r="M129" s="9">
        <f t="shared" si="12"/>
        <v>210802.01686472524</v>
      </c>
      <c r="N129" s="9">
        <f t="shared" si="13"/>
        <v>117818.61702830324</v>
      </c>
      <c r="O129" s="9">
        <f t="shared" si="14"/>
        <v>69167.301161119321</v>
      </c>
      <c r="P129" s="6">
        <f t="shared" si="18"/>
        <v>37193359.934568778</v>
      </c>
    </row>
    <row r="130" spans="1:16" x14ac:dyDescent="0.2">
      <c r="A130" s="3">
        <f t="shared" ref="A130:A193" si="20">IF(ROW(A130)-1&gt;$I$4,"",ROW(A130)-1)</f>
        <v>129</v>
      </c>
      <c r="B130" s="6">
        <f t="shared" si="19"/>
        <v>37075541.317540474</v>
      </c>
      <c r="C130" s="9">
        <f t="shared" si="15"/>
        <v>186842.95177030656</v>
      </c>
      <c r="D130" s="9">
        <f t="shared" si="16"/>
        <v>118113.16357087401</v>
      </c>
      <c r="E130" s="9">
        <f t="shared" ref="E130:E193" si="21">MAX(0,-IPMT($I$2/12,A130, $I$4,B130))</f>
        <v>68729.788199432573</v>
      </c>
      <c r="F130" s="9" t="b">
        <v>0</v>
      </c>
      <c r="G130" s="24" t="str">
        <f t="shared" si="17"/>
        <v/>
      </c>
      <c r="H130" s="9"/>
      <c r="M130" s="9">
        <f t="shared" ref="M130:M193" si="22">-PMT($I$2/12, ($I$4/12)*12, $I$3)</f>
        <v>210802.01686472524</v>
      </c>
      <c r="N130" s="9">
        <f t="shared" ref="N130:N193" si="23">-PPMT($I$2/12,A130,$I$4, $I$3)</f>
        <v>118113.16357087401</v>
      </c>
      <c r="O130" s="9">
        <f t="shared" ref="O130:O193" si="24">MAX(0,-IPMT($I$2/12,A130, $I$4,P130))</f>
        <v>68729.788199432573</v>
      </c>
      <c r="P130" s="6">
        <f t="shared" si="18"/>
        <v>37075541.317540474</v>
      </c>
    </row>
    <row r="131" spans="1:16" x14ac:dyDescent="0.2">
      <c r="A131" s="3">
        <f t="shared" si="20"/>
        <v>130</v>
      </c>
      <c r="B131" s="6">
        <f t="shared" si="19"/>
        <v>36957428.153969601</v>
      </c>
      <c r="C131" s="9">
        <f t="shared" ref="C131:C194" si="25">IF(B131&gt;0, IF(F131=TRUE, D131+E131+G131,D131+E131), "")</f>
        <v>186701.0212675925</v>
      </c>
      <c r="D131" s="9">
        <f t="shared" ref="D131:D194" si="26">-PPMT($I$2/12,A131,$I$4, $I$3)</f>
        <v>118408.44647980119</v>
      </c>
      <c r="E131" s="9">
        <f t="shared" si="21"/>
        <v>68292.574787791295</v>
      </c>
      <c r="F131" s="9" t="b">
        <v>0</v>
      </c>
      <c r="G131" s="24" t="str">
        <f t="shared" ref="G131:G194" si="27">IF(F131=TRUE,D131*2,"")</f>
        <v/>
      </c>
      <c r="H131" s="9"/>
      <c r="M131" s="9">
        <f t="shared" si="22"/>
        <v>210802.01686472524</v>
      </c>
      <c r="N131" s="9">
        <f t="shared" si="23"/>
        <v>118408.44647980119</v>
      </c>
      <c r="O131" s="9">
        <f t="shared" si="24"/>
        <v>68292.574787791295</v>
      </c>
      <c r="P131" s="6">
        <f t="shared" ref="P131:P194" si="28">P130-N130</f>
        <v>36957428.153969601</v>
      </c>
    </row>
    <row r="132" spans="1:16" x14ac:dyDescent="0.2">
      <c r="A132" s="3">
        <f t="shared" si="20"/>
        <v>131</v>
      </c>
      <c r="B132" s="6">
        <f t="shared" ref="B132:B195" si="29">MAX(0,IF(F132=TRUE,B131-(D132+G132),B131-D131))</f>
        <v>36839019.707489796</v>
      </c>
      <c r="C132" s="9">
        <f t="shared" si="25"/>
        <v>186560.13624644181</v>
      </c>
      <c r="D132" s="9">
        <f t="shared" si="26"/>
        <v>118704.4675960007</v>
      </c>
      <c r="E132" s="9">
        <f t="shared" si="21"/>
        <v>67855.668650441119</v>
      </c>
      <c r="F132" s="9" t="b">
        <v>0</v>
      </c>
      <c r="G132" s="24" t="str">
        <f t="shared" si="27"/>
        <v/>
      </c>
      <c r="H132" s="9"/>
      <c r="M132" s="9">
        <f t="shared" si="22"/>
        <v>210802.01686472524</v>
      </c>
      <c r="N132" s="9">
        <f t="shared" si="23"/>
        <v>118704.4675960007</v>
      </c>
      <c r="O132" s="9">
        <f t="shared" si="24"/>
        <v>67855.668650441119</v>
      </c>
      <c r="P132" s="6">
        <f t="shared" si="28"/>
        <v>36839019.707489796</v>
      </c>
    </row>
    <row r="133" spans="1:16" x14ac:dyDescent="0.2">
      <c r="A133" s="3">
        <f t="shared" si="20"/>
        <v>132</v>
      </c>
      <c r="B133" s="6">
        <f t="shared" si="29"/>
        <v>36720315.239893794</v>
      </c>
      <c r="C133" s="9">
        <f t="shared" si="25"/>
        <v>186420.30633084956</v>
      </c>
      <c r="D133" s="9">
        <f t="shared" si="26"/>
        <v>119001.22876499068</v>
      </c>
      <c r="E133" s="9">
        <f t="shared" si="21"/>
        <v>67419.077565858883</v>
      </c>
      <c r="F133" s="9" t="b">
        <v>0</v>
      </c>
      <c r="G133" s="24" t="str">
        <f t="shared" si="27"/>
        <v/>
      </c>
      <c r="H133" s="9"/>
      <c r="M133" s="9">
        <f t="shared" si="22"/>
        <v>210802.01686472524</v>
      </c>
      <c r="N133" s="9">
        <f t="shared" si="23"/>
        <v>119001.22876499068</v>
      </c>
      <c r="O133" s="9">
        <f t="shared" si="24"/>
        <v>67419.077565858883</v>
      </c>
      <c r="P133" s="6">
        <f t="shared" si="28"/>
        <v>36720315.239893794</v>
      </c>
    </row>
    <row r="134" spans="1:16" x14ac:dyDescent="0.2">
      <c r="A134" s="3">
        <f t="shared" si="20"/>
        <v>133</v>
      </c>
      <c r="B134" s="6">
        <f t="shared" si="29"/>
        <v>36601314.011128806</v>
      </c>
      <c r="C134" s="9">
        <f t="shared" si="25"/>
        <v>186281.5412039659</v>
      </c>
      <c r="D134" s="9">
        <f t="shared" si="26"/>
        <v>119298.73183690316</v>
      </c>
      <c r="E134" s="9">
        <f t="shared" si="21"/>
        <v>66982.809367062742</v>
      </c>
      <c r="F134" s="9" t="b">
        <v>0</v>
      </c>
      <c r="G134" s="24" t="str">
        <f t="shared" si="27"/>
        <v/>
      </c>
      <c r="H134" s="9"/>
      <c r="M134" s="9">
        <f t="shared" si="22"/>
        <v>210802.01686472524</v>
      </c>
      <c r="N134" s="9">
        <f t="shared" si="23"/>
        <v>119298.73183690316</v>
      </c>
      <c r="O134" s="9">
        <f t="shared" si="24"/>
        <v>66982.809367062742</v>
      </c>
      <c r="P134" s="6">
        <f t="shared" si="28"/>
        <v>36601314.011128806</v>
      </c>
    </row>
    <row r="135" spans="1:16" x14ac:dyDescent="0.2">
      <c r="A135" s="3">
        <f t="shared" si="20"/>
        <v>134</v>
      </c>
      <c r="B135" s="6">
        <f t="shared" si="29"/>
        <v>36482015.279291905</v>
      </c>
      <c r="C135" s="9">
        <f t="shared" si="25"/>
        <v>186143.85060841989</v>
      </c>
      <c r="D135" s="9">
        <f t="shared" si="26"/>
        <v>119596.97866649544</v>
      </c>
      <c r="E135" s="9">
        <f t="shared" si="21"/>
        <v>66546.871941924444</v>
      </c>
      <c r="F135" s="9" t="b">
        <v>0</v>
      </c>
      <c r="G135" s="24" t="str">
        <f t="shared" si="27"/>
        <v/>
      </c>
      <c r="H135" s="9"/>
      <c r="M135" s="9">
        <f t="shared" si="22"/>
        <v>210802.01686472524</v>
      </c>
      <c r="N135" s="9">
        <f t="shared" si="23"/>
        <v>119596.97866649544</v>
      </c>
      <c r="O135" s="9">
        <f t="shared" si="24"/>
        <v>66546.871941924444</v>
      </c>
      <c r="P135" s="6">
        <f t="shared" si="28"/>
        <v>36482015.279291905</v>
      </c>
    </row>
    <row r="136" spans="1:16" x14ac:dyDescent="0.2">
      <c r="A136" s="3">
        <f t="shared" si="20"/>
        <v>135</v>
      </c>
      <c r="B136" s="6">
        <f t="shared" si="29"/>
        <v>36362418.300625414</v>
      </c>
      <c r="C136" s="9">
        <f t="shared" si="25"/>
        <v>186007.24434664455</v>
      </c>
      <c r="D136" s="9">
        <f t="shared" si="26"/>
        <v>119895.97111316165</v>
      </c>
      <c r="E136" s="9">
        <f t="shared" si="21"/>
        <v>66111.27323348292</v>
      </c>
      <c r="F136" s="9" t="b">
        <v>0</v>
      </c>
      <c r="G136" s="24" t="str">
        <f t="shared" si="27"/>
        <v/>
      </c>
      <c r="H136" s="9"/>
      <c r="M136" s="9">
        <f t="shared" si="22"/>
        <v>210802.01686472524</v>
      </c>
      <c r="N136" s="9">
        <f t="shared" si="23"/>
        <v>119895.97111316165</v>
      </c>
      <c r="O136" s="9">
        <f t="shared" si="24"/>
        <v>66111.27323348292</v>
      </c>
      <c r="P136" s="6">
        <f t="shared" si="28"/>
        <v>36362418.300625414</v>
      </c>
    </row>
    <row r="137" spans="1:16" x14ac:dyDescent="0.2">
      <c r="A137" s="3">
        <f t="shared" si="20"/>
        <v>136</v>
      </c>
      <c r="B137" s="6">
        <f t="shared" si="29"/>
        <v>36242522.329512253</v>
      </c>
      <c r="C137" s="9">
        <f t="shared" si="25"/>
        <v>185871.73228120431</v>
      </c>
      <c r="D137" s="9">
        <f t="shared" si="26"/>
        <v>120195.71104094457</v>
      </c>
      <c r="E137" s="9">
        <f t="shared" si="21"/>
        <v>65676.021240259739</v>
      </c>
      <c r="F137" s="9" t="b">
        <v>0</v>
      </c>
      <c r="G137" s="24" t="str">
        <f t="shared" si="27"/>
        <v/>
      </c>
      <c r="H137" s="9"/>
      <c r="M137" s="9">
        <f t="shared" si="22"/>
        <v>210802.01686472524</v>
      </c>
      <c r="N137" s="9">
        <f t="shared" si="23"/>
        <v>120195.71104094457</v>
      </c>
      <c r="O137" s="9">
        <f t="shared" si="24"/>
        <v>65676.021240259739</v>
      </c>
      <c r="P137" s="6">
        <f t="shared" si="28"/>
        <v>36242522.329512253</v>
      </c>
    </row>
    <row r="138" spans="1:16" x14ac:dyDescent="0.2">
      <c r="A138" s="3">
        <f t="shared" si="20"/>
        <v>137</v>
      </c>
      <c r="B138" s="6">
        <f t="shared" si="29"/>
        <v>36122326.61847131</v>
      </c>
      <c r="C138" s="9">
        <f t="shared" si="25"/>
        <v>185737.324335123</v>
      </c>
      <c r="D138" s="9">
        <f t="shared" si="26"/>
        <v>120496.20031854694</v>
      </c>
      <c r="E138" s="9">
        <f t="shared" si="21"/>
        <v>65241.124016576076</v>
      </c>
      <c r="F138" s="9" t="b">
        <v>0</v>
      </c>
      <c r="G138" s="24" t="str">
        <f t="shared" si="27"/>
        <v/>
      </c>
      <c r="H138" s="9"/>
      <c r="M138" s="9">
        <f t="shared" si="22"/>
        <v>210802.01686472524</v>
      </c>
      <c r="N138" s="9">
        <f t="shared" si="23"/>
        <v>120496.20031854694</v>
      </c>
      <c r="O138" s="9">
        <f t="shared" si="24"/>
        <v>65241.124016576076</v>
      </c>
      <c r="P138" s="6">
        <f t="shared" si="28"/>
        <v>36122326.61847131</v>
      </c>
    </row>
    <row r="139" spans="1:16" x14ac:dyDescent="0.2">
      <c r="A139" s="3">
        <f t="shared" si="20"/>
        <v>138</v>
      </c>
      <c r="B139" s="6">
        <f t="shared" si="29"/>
        <v>36001830.418152764</v>
      </c>
      <c r="C139" s="9">
        <f t="shared" si="25"/>
        <v>185604.03049221478</v>
      </c>
      <c r="D139" s="9">
        <f t="shared" si="26"/>
        <v>120797.44081934328</v>
      </c>
      <c r="E139" s="9">
        <f t="shared" si="21"/>
        <v>64806.589672871516</v>
      </c>
      <c r="F139" s="9" t="b">
        <v>0</v>
      </c>
      <c r="G139" s="24" t="str">
        <f t="shared" si="27"/>
        <v/>
      </c>
      <c r="H139" s="9"/>
      <c r="M139" s="9">
        <f t="shared" si="22"/>
        <v>210802.01686472524</v>
      </c>
      <c r="N139" s="9">
        <f t="shared" si="23"/>
        <v>120797.44081934328</v>
      </c>
      <c r="O139" s="9">
        <f t="shared" si="24"/>
        <v>64806.589672871516</v>
      </c>
      <c r="P139" s="6">
        <f t="shared" si="28"/>
        <v>36001830.418152764</v>
      </c>
    </row>
    <row r="140" spans="1:16" x14ac:dyDescent="0.2">
      <c r="A140" s="3">
        <f t="shared" si="20"/>
        <v>139</v>
      </c>
      <c r="B140" s="6">
        <f t="shared" si="29"/>
        <v>35881032.977333419</v>
      </c>
      <c r="C140" s="9">
        <f t="shared" si="25"/>
        <v>185471.86079741607</v>
      </c>
      <c r="D140" s="9">
        <f t="shared" si="26"/>
        <v>121099.43442139163</v>
      </c>
      <c r="E140" s="9">
        <f t="shared" si="21"/>
        <v>64372.426376024443</v>
      </c>
      <c r="F140" s="9" t="b">
        <v>0</v>
      </c>
      <c r="G140" s="24" t="str">
        <f t="shared" si="27"/>
        <v/>
      </c>
      <c r="H140" s="9"/>
      <c r="M140" s="9">
        <f t="shared" si="22"/>
        <v>210802.01686472524</v>
      </c>
      <c r="N140" s="9">
        <f t="shared" si="23"/>
        <v>121099.43442139163</v>
      </c>
      <c r="O140" s="9">
        <f t="shared" si="24"/>
        <v>64372.426376024443</v>
      </c>
      <c r="P140" s="6">
        <f t="shared" si="28"/>
        <v>35881032.977333419</v>
      </c>
    </row>
    <row r="141" spans="1:16" x14ac:dyDescent="0.2">
      <c r="A141" s="3">
        <f t="shared" si="20"/>
        <v>140</v>
      </c>
      <c r="B141" s="6">
        <f t="shared" si="29"/>
        <v>35759933.542912029</v>
      </c>
      <c r="C141" s="9">
        <f t="shared" si="25"/>
        <v>185340.82535711938</v>
      </c>
      <c r="D141" s="9">
        <f t="shared" si="26"/>
        <v>121402.18300744513</v>
      </c>
      <c r="E141" s="9">
        <f t="shared" si="21"/>
        <v>63938.642349674257</v>
      </c>
      <c r="F141" s="9" t="b">
        <v>0</v>
      </c>
      <c r="G141" s="24" t="str">
        <f t="shared" si="27"/>
        <v/>
      </c>
      <c r="H141" s="9"/>
      <c r="M141" s="9">
        <f t="shared" si="22"/>
        <v>210802.01686472524</v>
      </c>
      <c r="N141" s="9">
        <f t="shared" si="23"/>
        <v>121402.18300744513</v>
      </c>
      <c r="O141" s="9">
        <f t="shared" si="24"/>
        <v>63938.642349674257</v>
      </c>
      <c r="P141" s="6">
        <f t="shared" si="28"/>
        <v>35759933.542912029</v>
      </c>
    </row>
    <row r="142" spans="1:16" x14ac:dyDescent="0.2">
      <c r="A142" s="3">
        <f t="shared" si="20"/>
        <v>141</v>
      </c>
      <c r="B142" s="6">
        <f t="shared" si="29"/>
        <v>35638531.359904587</v>
      </c>
      <c r="C142" s="9">
        <f t="shared" si="25"/>
        <v>185210.93433950888</v>
      </c>
      <c r="D142" s="9">
        <f t="shared" si="26"/>
        <v>121705.68846496374</v>
      </c>
      <c r="E142" s="9">
        <f t="shared" si="21"/>
        <v>63505.245874545144</v>
      </c>
      <c r="F142" s="9" t="b">
        <v>0</v>
      </c>
      <c r="G142" s="24" t="str">
        <f t="shared" si="27"/>
        <v/>
      </c>
      <c r="H142" s="9"/>
      <c r="M142" s="9">
        <f t="shared" si="22"/>
        <v>210802.01686472524</v>
      </c>
      <c r="N142" s="9">
        <f t="shared" si="23"/>
        <v>121705.68846496374</v>
      </c>
      <c r="O142" s="9">
        <f t="shared" si="24"/>
        <v>63505.245874545144</v>
      </c>
      <c r="P142" s="6">
        <f t="shared" si="28"/>
        <v>35638531.359904587</v>
      </c>
    </row>
    <row r="143" spans="1:16" x14ac:dyDescent="0.2">
      <c r="A143" s="3">
        <f t="shared" si="20"/>
        <v>142</v>
      </c>
      <c r="B143" s="6">
        <f t="shared" si="29"/>
        <v>35516825.671439625</v>
      </c>
      <c r="C143" s="9">
        <f t="shared" si="25"/>
        <v>185082.1979748978</v>
      </c>
      <c r="D143" s="9">
        <f t="shared" si="26"/>
        <v>122009.95268612615</v>
      </c>
      <c r="E143" s="9">
        <f t="shared" si="21"/>
        <v>63072.24528877165</v>
      </c>
      <c r="F143" s="9" t="b">
        <v>0</v>
      </c>
      <c r="G143" s="24" t="str">
        <f t="shared" si="27"/>
        <v/>
      </c>
      <c r="H143" s="9"/>
      <c r="M143" s="9">
        <f t="shared" si="22"/>
        <v>210802.01686472524</v>
      </c>
      <c r="N143" s="9">
        <f t="shared" si="23"/>
        <v>122009.95268612615</v>
      </c>
      <c r="O143" s="9">
        <f t="shared" si="24"/>
        <v>63072.24528877165</v>
      </c>
      <c r="P143" s="6">
        <f t="shared" si="28"/>
        <v>35516825.671439625</v>
      </c>
    </row>
    <row r="144" spans="1:16" x14ac:dyDescent="0.2">
      <c r="A144" s="3">
        <f t="shared" si="20"/>
        <v>143</v>
      </c>
      <c r="B144" s="6">
        <f t="shared" si="29"/>
        <v>35394815.718753502</v>
      </c>
      <c r="C144" s="9">
        <f t="shared" si="25"/>
        <v>184954.62655606749</v>
      </c>
      <c r="D144" s="9">
        <f t="shared" si="26"/>
        <v>122314.97756784149</v>
      </c>
      <c r="E144" s="9">
        <f t="shared" si="21"/>
        <v>62639.648988226021</v>
      </c>
      <c r="F144" s="9" t="b">
        <v>0</v>
      </c>
      <c r="G144" s="24" t="str">
        <f t="shared" si="27"/>
        <v/>
      </c>
      <c r="H144" s="9"/>
      <c r="M144" s="9">
        <f t="shared" si="22"/>
        <v>210802.01686472524</v>
      </c>
      <c r="N144" s="9">
        <f t="shared" si="23"/>
        <v>122314.97756784149</v>
      </c>
      <c r="O144" s="9">
        <f t="shared" si="24"/>
        <v>62639.648988226021</v>
      </c>
      <c r="P144" s="6">
        <f t="shared" si="28"/>
        <v>35394815.718753502</v>
      </c>
    </row>
    <row r="145" spans="1:16" x14ac:dyDescent="0.2">
      <c r="A145" s="3">
        <f t="shared" si="20"/>
        <v>144</v>
      </c>
      <c r="B145" s="6">
        <f t="shared" si="29"/>
        <v>35272500.741185658</v>
      </c>
      <c r="C145" s="9">
        <f t="shared" si="25"/>
        <v>184828.23043860824</v>
      </c>
      <c r="D145" s="9">
        <f t="shared" si="26"/>
        <v>122620.76501176108</v>
      </c>
      <c r="E145" s="9">
        <f t="shared" si="21"/>
        <v>62207.465426847157</v>
      </c>
      <c r="F145" s="9" t="b">
        <v>0</v>
      </c>
      <c r="G145" s="24" t="str">
        <f t="shared" si="27"/>
        <v/>
      </c>
      <c r="H145" s="9"/>
      <c r="M145" s="9">
        <f t="shared" si="22"/>
        <v>210802.01686472524</v>
      </c>
      <c r="N145" s="9">
        <f t="shared" si="23"/>
        <v>122620.76501176108</v>
      </c>
      <c r="O145" s="9">
        <f t="shared" si="24"/>
        <v>62207.465426847157</v>
      </c>
      <c r="P145" s="6">
        <f t="shared" si="28"/>
        <v>35272500.741185658</v>
      </c>
    </row>
    <row r="146" spans="1:16" x14ac:dyDescent="0.2">
      <c r="A146" s="3">
        <f t="shared" si="20"/>
        <v>145</v>
      </c>
      <c r="B146" s="6">
        <f t="shared" si="29"/>
        <v>35149879.9761739</v>
      </c>
      <c r="C146" s="9">
        <f t="shared" si="25"/>
        <v>184703.02004126203</v>
      </c>
      <c r="D146" s="9">
        <f t="shared" si="26"/>
        <v>122927.31692429047</v>
      </c>
      <c r="E146" s="9">
        <f t="shared" si="21"/>
        <v>61775.703116971563</v>
      </c>
      <c r="F146" s="9" t="b">
        <v>0</v>
      </c>
      <c r="G146" s="24" t="str">
        <f t="shared" si="27"/>
        <v/>
      </c>
      <c r="H146" s="9"/>
      <c r="M146" s="9">
        <f t="shared" si="22"/>
        <v>210802.01686472524</v>
      </c>
      <c r="N146" s="9">
        <f t="shared" si="23"/>
        <v>122927.31692429047</v>
      </c>
      <c r="O146" s="9">
        <f t="shared" si="24"/>
        <v>61775.703116971563</v>
      </c>
      <c r="P146" s="6">
        <f t="shared" si="28"/>
        <v>35149879.9761739</v>
      </c>
    </row>
    <row r="147" spans="1:16" x14ac:dyDescent="0.2">
      <c r="A147" s="3">
        <f t="shared" si="20"/>
        <v>146</v>
      </c>
      <c r="B147" s="6">
        <f t="shared" si="29"/>
        <v>35026952.659249611</v>
      </c>
      <c r="C147" s="9">
        <f t="shared" si="25"/>
        <v>184579.00584626687</v>
      </c>
      <c r="D147" s="9">
        <f t="shared" si="26"/>
        <v>123234.63521660119</v>
      </c>
      <c r="E147" s="9">
        <f t="shared" si="21"/>
        <v>61344.370629665675</v>
      </c>
      <c r="F147" s="9" t="b">
        <v>0</v>
      </c>
      <c r="G147" s="24" t="str">
        <f t="shared" si="27"/>
        <v/>
      </c>
      <c r="H147" s="9"/>
      <c r="M147" s="9">
        <f t="shared" si="22"/>
        <v>210802.01686472524</v>
      </c>
      <c r="N147" s="9">
        <f t="shared" si="23"/>
        <v>123234.63521660119</v>
      </c>
      <c r="O147" s="9">
        <f t="shared" si="24"/>
        <v>61344.370629665675</v>
      </c>
      <c r="P147" s="6">
        <f t="shared" si="28"/>
        <v>35026952.659249611</v>
      </c>
    </row>
    <row r="148" spans="1:16" x14ac:dyDescent="0.2">
      <c r="A148" s="3">
        <f t="shared" si="20"/>
        <v>147</v>
      </c>
      <c r="B148" s="6">
        <f t="shared" si="29"/>
        <v>34903718.02403301</v>
      </c>
      <c r="C148" s="9">
        <f t="shared" si="25"/>
        <v>184456.19839970305</v>
      </c>
      <c r="D148" s="9">
        <f t="shared" si="26"/>
        <v>123542.72180464272</v>
      </c>
      <c r="E148" s="9">
        <f t="shared" si="21"/>
        <v>60913.47659506034</v>
      </c>
      <c r="F148" s="9" t="b">
        <v>0</v>
      </c>
      <c r="G148" s="24" t="str">
        <f t="shared" si="27"/>
        <v/>
      </c>
      <c r="H148" s="9"/>
      <c r="M148" s="9">
        <f t="shared" si="22"/>
        <v>210802.01686472524</v>
      </c>
      <c r="N148" s="9">
        <f t="shared" si="23"/>
        <v>123542.72180464272</v>
      </c>
      <c r="O148" s="9">
        <f t="shared" si="24"/>
        <v>60913.47659506034</v>
      </c>
      <c r="P148" s="6">
        <f t="shared" si="28"/>
        <v>34903718.02403301</v>
      </c>
    </row>
    <row r="149" spans="1:16" x14ac:dyDescent="0.2">
      <c r="A149" s="3">
        <f t="shared" si="20"/>
        <v>148</v>
      </c>
      <c r="B149" s="6">
        <f t="shared" si="29"/>
        <v>34780175.302228369</v>
      </c>
      <c r="C149" s="9">
        <f t="shared" si="25"/>
        <v>184334.60831184115</v>
      </c>
      <c r="D149" s="9">
        <f t="shared" si="26"/>
        <v>123851.57860915433</v>
      </c>
      <c r="E149" s="9">
        <f t="shared" si="21"/>
        <v>60483.029702686807</v>
      </c>
      <c r="F149" s="9" t="b">
        <v>0</v>
      </c>
      <c r="G149" s="24" t="str">
        <f t="shared" si="27"/>
        <v/>
      </c>
      <c r="H149" s="9"/>
      <c r="M149" s="9">
        <f t="shared" si="22"/>
        <v>210802.01686472524</v>
      </c>
      <c r="N149" s="9">
        <f t="shared" si="23"/>
        <v>123851.57860915433</v>
      </c>
      <c r="O149" s="9">
        <f t="shared" si="24"/>
        <v>60483.029702686807</v>
      </c>
      <c r="P149" s="6">
        <f t="shared" si="28"/>
        <v>34780175.302228369</v>
      </c>
    </row>
    <row r="150" spans="1:16" x14ac:dyDescent="0.2">
      <c r="A150" s="3">
        <f t="shared" si="20"/>
        <v>149</v>
      </c>
      <c r="B150" s="6">
        <f t="shared" si="29"/>
        <v>34656323.723619215</v>
      </c>
      <c r="C150" s="9">
        <f t="shared" si="25"/>
        <v>184214.24625749182</v>
      </c>
      <c r="D150" s="9">
        <f t="shared" si="26"/>
        <v>124161.2075556772</v>
      </c>
      <c r="E150" s="9">
        <f t="shared" si="21"/>
        <v>60053.038701814607</v>
      </c>
      <c r="F150" s="9" t="b">
        <v>0</v>
      </c>
      <c r="G150" s="24" t="str">
        <f t="shared" si="27"/>
        <v/>
      </c>
      <c r="H150" s="9"/>
      <c r="M150" s="9">
        <f t="shared" si="22"/>
        <v>210802.01686472524</v>
      </c>
      <c r="N150" s="9">
        <f t="shared" si="23"/>
        <v>124161.2075556772</v>
      </c>
      <c r="O150" s="9">
        <f t="shared" si="24"/>
        <v>60053.038701814607</v>
      </c>
      <c r="P150" s="6">
        <f t="shared" si="28"/>
        <v>34656323.723619215</v>
      </c>
    </row>
    <row r="151" spans="1:16" x14ac:dyDescent="0.2">
      <c r="A151" s="3">
        <f t="shared" si="20"/>
        <v>150</v>
      </c>
      <c r="B151" s="6">
        <f t="shared" si="29"/>
        <v>34532162.516063541</v>
      </c>
      <c r="C151" s="9">
        <f t="shared" si="25"/>
        <v>184095.12297635755</v>
      </c>
      <c r="D151" s="9">
        <f t="shared" si="26"/>
        <v>124471.61057456637</v>
      </c>
      <c r="E151" s="9">
        <f t="shared" si="21"/>
        <v>59623.512401791188</v>
      </c>
      <c r="F151" s="9" t="b">
        <v>0</v>
      </c>
      <c r="G151" s="24" t="str">
        <f t="shared" si="27"/>
        <v/>
      </c>
      <c r="H151" s="9"/>
      <c r="M151" s="9">
        <f t="shared" si="22"/>
        <v>210802.01686472524</v>
      </c>
      <c r="N151" s="9">
        <f t="shared" si="23"/>
        <v>124471.61057456637</v>
      </c>
      <c r="O151" s="9">
        <f t="shared" si="24"/>
        <v>59623.512401791188</v>
      </c>
      <c r="P151" s="6">
        <f t="shared" si="28"/>
        <v>34532162.516063541</v>
      </c>
    </row>
    <row r="152" spans="1:16" x14ac:dyDescent="0.2">
      <c r="A152" s="3">
        <f t="shared" si="20"/>
        <v>151</v>
      </c>
      <c r="B152" s="6">
        <f t="shared" si="29"/>
        <v>34407690.905488975</v>
      </c>
      <c r="C152" s="9">
        <f t="shared" si="25"/>
        <v>183977.24927338626</v>
      </c>
      <c r="D152" s="9">
        <f t="shared" si="26"/>
        <v>124782.78960100281</v>
      </c>
      <c r="E152" s="9">
        <f t="shared" si="21"/>
        <v>59194.459672383455</v>
      </c>
      <c r="F152" s="9" t="b">
        <v>0</v>
      </c>
      <c r="G152" s="24" t="str">
        <f t="shared" si="27"/>
        <v/>
      </c>
      <c r="H152" s="9"/>
      <c r="M152" s="9">
        <f t="shared" si="22"/>
        <v>210802.01686472524</v>
      </c>
      <c r="N152" s="9">
        <f t="shared" si="23"/>
        <v>124782.78960100281</v>
      </c>
      <c r="O152" s="9">
        <f t="shared" si="24"/>
        <v>59194.459672383455</v>
      </c>
      <c r="P152" s="6">
        <f t="shared" si="28"/>
        <v>34407690.905488975</v>
      </c>
    </row>
    <row r="153" spans="1:16" x14ac:dyDescent="0.2">
      <c r="A153" s="3">
        <f t="shared" si="20"/>
        <v>152</v>
      </c>
      <c r="B153" s="6">
        <f t="shared" si="29"/>
        <v>34282908.11588797</v>
      </c>
      <c r="C153" s="9">
        <f t="shared" si="25"/>
        <v>183860.63601912619</v>
      </c>
      <c r="D153" s="9">
        <f t="shared" si="26"/>
        <v>125094.74657500532</v>
      </c>
      <c r="E153" s="9">
        <f t="shared" si="21"/>
        <v>58765.889444120861</v>
      </c>
      <c r="F153" s="9" t="b">
        <v>0</v>
      </c>
      <c r="G153" s="24" t="str">
        <f t="shared" si="27"/>
        <v/>
      </c>
      <c r="H153" s="9"/>
      <c r="M153" s="9">
        <f t="shared" si="22"/>
        <v>210802.01686472524</v>
      </c>
      <c r="N153" s="9">
        <f t="shared" si="23"/>
        <v>125094.74657500532</v>
      </c>
      <c r="O153" s="9">
        <f t="shared" si="24"/>
        <v>58765.889444120861</v>
      </c>
      <c r="P153" s="6">
        <f t="shared" si="28"/>
        <v>34282908.11588797</v>
      </c>
    </row>
    <row r="154" spans="1:16" x14ac:dyDescent="0.2">
      <c r="A154" s="3">
        <f t="shared" si="20"/>
        <v>153</v>
      </c>
      <c r="B154" s="6">
        <f t="shared" si="29"/>
        <v>34157813.369312964</v>
      </c>
      <c r="C154" s="9">
        <f t="shared" si="25"/>
        <v>183745.29415008362</v>
      </c>
      <c r="D154" s="9">
        <f t="shared" si="26"/>
        <v>125407.48344144283</v>
      </c>
      <c r="E154" s="9">
        <f t="shared" si="21"/>
        <v>58337.810708640776</v>
      </c>
      <c r="F154" s="9" t="b">
        <v>0</v>
      </c>
      <c r="G154" s="24" t="str">
        <f t="shared" si="27"/>
        <v/>
      </c>
      <c r="H154" s="9"/>
      <c r="M154" s="9">
        <f t="shared" si="22"/>
        <v>210802.01686472524</v>
      </c>
      <c r="N154" s="9">
        <f t="shared" si="23"/>
        <v>125407.48344144283</v>
      </c>
      <c r="O154" s="9">
        <f t="shared" si="24"/>
        <v>58337.810708640776</v>
      </c>
      <c r="P154" s="6">
        <f t="shared" si="28"/>
        <v>34157813.369312964</v>
      </c>
    </row>
    <row r="155" spans="1:16" x14ac:dyDescent="0.2">
      <c r="A155" s="3">
        <f t="shared" si="20"/>
        <v>154</v>
      </c>
      <c r="B155" s="6">
        <f t="shared" si="29"/>
        <v>34032405.885871522</v>
      </c>
      <c r="C155" s="9">
        <f t="shared" si="25"/>
        <v>183631.23466908155</v>
      </c>
      <c r="D155" s="9">
        <f t="shared" si="26"/>
        <v>125721.00215004642</v>
      </c>
      <c r="E155" s="9">
        <f t="shared" si="21"/>
        <v>57910.232519035133</v>
      </c>
      <c r="F155" s="9" t="b">
        <v>0</v>
      </c>
      <c r="G155" s="24" t="str">
        <f t="shared" si="27"/>
        <v/>
      </c>
      <c r="H155" s="9"/>
      <c r="M155" s="9">
        <f t="shared" si="22"/>
        <v>210802.01686472524</v>
      </c>
      <c r="N155" s="9">
        <f t="shared" si="23"/>
        <v>125721.00215004642</v>
      </c>
      <c r="O155" s="9">
        <f t="shared" si="24"/>
        <v>57910.232519035133</v>
      </c>
      <c r="P155" s="6">
        <f t="shared" si="28"/>
        <v>34032405.885871522</v>
      </c>
    </row>
    <row r="156" spans="1:16" x14ac:dyDescent="0.2">
      <c r="A156" s="3">
        <f t="shared" si="20"/>
        <v>155</v>
      </c>
      <c r="B156" s="6">
        <f t="shared" si="29"/>
        <v>33906684.883721478</v>
      </c>
      <c r="C156" s="9">
        <f t="shared" si="25"/>
        <v>183518.46864562086</v>
      </c>
      <c r="D156" s="9">
        <f t="shared" si="26"/>
        <v>126035.30465542154</v>
      </c>
      <c r="E156" s="9">
        <f t="shared" si="21"/>
        <v>57483.163990199326</v>
      </c>
      <c r="F156" s="9" t="b">
        <v>0</v>
      </c>
      <c r="G156" s="24" t="str">
        <f t="shared" si="27"/>
        <v/>
      </c>
      <c r="H156" s="9"/>
      <c r="M156" s="9">
        <f t="shared" si="22"/>
        <v>210802.01686472524</v>
      </c>
      <c r="N156" s="9">
        <f t="shared" si="23"/>
        <v>126035.30465542154</v>
      </c>
      <c r="O156" s="9">
        <f t="shared" si="24"/>
        <v>57483.163990199326</v>
      </c>
      <c r="P156" s="6">
        <f t="shared" si="28"/>
        <v>33906684.883721478</v>
      </c>
    </row>
    <row r="157" spans="1:16" x14ac:dyDescent="0.2">
      <c r="A157" s="3">
        <f t="shared" si="20"/>
        <v>156</v>
      </c>
      <c r="B157" s="6">
        <f t="shared" si="29"/>
        <v>33780649.579066053</v>
      </c>
      <c r="C157" s="9">
        <f t="shared" si="25"/>
        <v>183407.00721624287</v>
      </c>
      <c r="D157" s="9">
        <f t="shared" si="26"/>
        <v>126350.39291706009</v>
      </c>
      <c r="E157" s="9">
        <f t="shared" si="21"/>
        <v>57056.61429918278</v>
      </c>
      <c r="F157" s="9" t="b">
        <v>0</v>
      </c>
      <c r="G157" s="24" t="str">
        <f t="shared" si="27"/>
        <v/>
      </c>
      <c r="H157" s="9"/>
      <c r="M157" s="9">
        <f t="shared" si="22"/>
        <v>210802.01686472524</v>
      </c>
      <c r="N157" s="9">
        <f t="shared" si="23"/>
        <v>126350.39291706009</v>
      </c>
      <c r="O157" s="9">
        <f t="shared" si="24"/>
        <v>57056.61429918278</v>
      </c>
      <c r="P157" s="6">
        <f t="shared" si="28"/>
        <v>33780649.579066053</v>
      </c>
    </row>
    <row r="158" spans="1:16" x14ac:dyDescent="0.2">
      <c r="A158" s="3">
        <f t="shared" si="20"/>
        <v>157</v>
      </c>
      <c r="B158" s="6">
        <f t="shared" si="29"/>
        <v>33654299.186148994</v>
      </c>
      <c r="C158" s="9">
        <f t="shared" si="25"/>
        <v>183296.86158489421</v>
      </c>
      <c r="D158" s="9">
        <f t="shared" si="26"/>
        <v>126666.26889935276</v>
      </c>
      <c r="E158" s="9">
        <f t="shared" si="21"/>
        <v>56630.592685541458</v>
      </c>
      <c r="F158" s="9" t="b">
        <v>0</v>
      </c>
      <c r="G158" s="24" t="str">
        <f t="shared" si="27"/>
        <v/>
      </c>
      <c r="H158" s="9"/>
      <c r="M158" s="9">
        <f t="shared" si="22"/>
        <v>210802.01686472524</v>
      </c>
      <c r="N158" s="9">
        <f t="shared" si="23"/>
        <v>126666.26889935276</v>
      </c>
      <c r="O158" s="9">
        <f t="shared" si="24"/>
        <v>56630.592685541458</v>
      </c>
      <c r="P158" s="6">
        <f t="shared" si="28"/>
        <v>33654299.186148994</v>
      </c>
    </row>
    <row r="159" spans="1:16" x14ac:dyDescent="0.2">
      <c r="A159" s="3">
        <f t="shared" si="20"/>
        <v>158</v>
      </c>
      <c r="B159" s="6">
        <f t="shared" si="29"/>
        <v>33527632.917249642</v>
      </c>
      <c r="C159" s="9">
        <f t="shared" si="25"/>
        <v>183188.0430232932</v>
      </c>
      <c r="D159" s="9">
        <f t="shared" si="26"/>
        <v>126982.93457160112</v>
      </c>
      <c r="E159" s="9">
        <f t="shared" si="21"/>
        <v>56205.108451692096</v>
      </c>
      <c r="F159" s="9" t="b">
        <v>0</v>
      </c>
      <c r="G159" s="24" t="str">
        <f t="shared" si="27"/>
        <v/>
      </c>
      <c r="H159" s="9"/>
      <c r="M159" s="9">
        <f t="shared" si="22"/>
        <v>210802.01686472524</v>
      </c>
      <c r="N159" s="9">
        <f t="shared" si="23"/>
        <v>126982.93457160112</v>
      </c>
      <c r="O159" s="9">
        <f t="shared" si="24"/>
        <v>56205.108451692096</v>
      </c>
      <c r="P159" s="6">
        <f t="shared" si="28"/>
        <v>33527632.917249642</v>
      </c>
    </row>
    <row r="160" spans="1:16" x14ac:dyDescent="0.2">
      <c r="A160" s="3">
        <f t="shared" si="20"/>
        <v>159</v>
      </c>
      <c r="B160" s="6">
        <f t="shared" si="29"/>
        <v>33400649.982678041</v>
      </c>
      <c r="C160" s="9">
        <f t="shared" si="25"/>
        <v>183080.56287129867</v>
      </c>
      <c r="D160" s="9">
        <f t="shared" si="26"/>
        <v>127300.39190803014</v>
      </c>
      <c r="E160" s="9">
        <f t="shared" si="21"/>
        <v>55780.170963268531</v>
      </c>
      <c r="F160" s="9" t="b">
        <v>0</v>
      </c>
      <c r="G160" s="24" t="str">
        <f t="shared" si="27"/>
        <v/>
      </c>
      <c r="H160" s="9"/>
      <c r="M160" s="9">
        <f t="shared" si="22"/>
        <v>210802.01686472524</v>
      </c>
      <c r="N160" s="9">
        <f t="shared" si="23"/>
        <v>127300.39190803014</v>
      </c>
      <c r="O160" s="9">
        <f t="shared" si="24"/>
        <v>55780.170963268531</v>
      </c>
      <c r="P160" s="6">
        <f t="shared" si="28"/>
        <v>33400649.982678041</v>
      </c>
    </row>
    <row r="161" spans="1:16" x14ac:dyDescent="0.2">
      <c r="A161" s="3">
        <f t="shared" si="20"/>
        <v>160</v>
      </c>
      <c r="B161" s="6">
        <f t="shared" si="29"/>
        <v>33273349.59077001</v>
      </c>
      <c r="C161" s="9">
        <f t="shared" si="25"/>
        <v>182974.43253727996</v>
      </c>
      <c r="D161" s="9">
        <f t="shared" si="26"/>
        <v>127618.6428878002</v>
      </c>
      <c r="E161" s="9">
        <f t="shared" si="21"/>
        <v>55355.789649479746</v>
      </c>
      <c r="F161" s="9" t="b">
        <v>0</v>
      </c>
      <c r="G161" s="24" t="str">
        <f t="shared" si="27"/>
        <v/>
      </c>
      <c r="H161" s="9"/>
      <c r="M161" s="9">
        <f t="shared" si="22"/>
        <v>210802.01686472524</v>
      </c>
      <c r="N161" s="9">
        <f t="shared" si="23"/>
        <v>127618.6428878002</v>
      </c>
      <c r="O161" s="9">
        <f t="shared" si="24"/>
        <v>55355.789649479746</v>
      </c>
      <c r="P161" s="6">
        <f t="shared" si="28"/>
        <v>33273349.59077001</v>
      </c>
    </row>
    <row r="162" spans="1:16" x14ac:dyDescent="0.2">
      <c r="A162" s="3">
        <f t="shared" si="20"/>
        <v>161</v>
      </c>
      <c r="B162" s="6">
        <f t="shared" si="29"/>
        <v>33145730.947882209</v>
      </c>
      <c r="C162" s="9">
        <f t="shared" si="25"/>
        <v>182869.66349848954</v>
      </c>
      <c r="D162" s="9">
        <f t="shared" si="26"/>
        <v>127937.68949501972</v>
      </c>
      <c r="E162" s="9">
        <f t="shared" si="21"/>
        <v>54931.974003469826</v>
      </c>
      <c r="F162" s="9" t="b">
        <v>0</v>
      </c>
      <c r="G162" s="24" t="str">
        <f t="shared" si="27"/>
        <v/>
      </c>
      <c r="H162" s="9"/>
      <c r="M162" s="9">
        <f t="shared" si="22"/>
        <v>210802.01686472524</v>
      </c>
      <c r="N162" s="9">
        <f t="shared" si="23"/>
        <v>127937.68949501972</v>
      </c>
      <c r="O162" s="9">
        <f t="shared" si="24"/>
        <v>54931.974003469826</v>
      </c>
      <c r="P162" s="6">
        <f t="shared" si="28"/>
        <v>33145730.947882209</v>
      </c>
    </row>
    <row r="163" spans="1:16" x14ac:dyDescent="0.2">
      <c r="A163" s="3">
        <f t="shared" si="20"/>
        <v>162</v>
      </c>
      <c r="B163" s="6">
        <f t="shared" si="29"/>
        <v>33017793.258387189</v>
      </c>
      <c r="C163" s="9">
        <f t="shared" si="25"/>
        <v>182766.26730143721</v>
      </c>
      <c r="D163" s="9">
        <f t="shared" si="26"/>
        <v>128257.53371875727</v>
      </c>
      <c r="E163" s="9">
        <f t="shared" si="21"/>
        <v>54508.733582679939</v>
      </c>
      <c r="F163" s="9" t="b">
        <v>0</v>
      </c>
      <c r="G163" s="24" t="str">
        <f t="shared" si="27"/>
        <v/>
      </c>
      <c r="H163" s="9"/>
      <c r="M163" s="9">
        <f t="shared" si="22"/>
        <v>210802.01686472524</v>
      </c>
      <c r="N163" s="9">
        <f t="shared" si="23"/>
        <v>128257.53371875727</v>
      </c>
      <c r="O163" s="9">
        <f t="shared" si="24"/>
        <v>54508.733582679939</v>
      </c>
      <c r="P163" s="6">
        <f t="shared" si="28"/>
        <v>33017793.258387189</v>
      </c>
    </row>
    <row r="164" spans="1:16" x14ac:dyDescent="0.2">
      <c r="A164" s="3">
        <f t="shared" si="20"/>
        <v>163</v>
      </c>
      <c r="B164" s="6">
        <f t="shared" si="29"/>
        <v>32889535.724668432</v>
      </c>
      <c r="C164" s="9">
        <f t="shared" si="25"/>
        <v>182664.25556226622</v>
      </c>
      <c r="D164" s="9">
        <f t="shared" si="26"/>
        <v>128578.17755305418</v>
      </c>
      <c r="E164" s="9">
        <f t="shared" si="21"/>
        <v>54086.078009212048</v>
      </c>
      <c r="F164" s="9" t="b">
        <v>0</v>
      </c>
      <c r="G164" s="24" t="str">
        <f t="shared" si="27"/>
        <v/>
      </c>
      <c r="H164" s="9"/>
      <c r="M164" s="9">
        <f t="shared" si="22"/>
        <v>210802.01686472524</v>
      </c>
      <c r="N164" s="9">
        <f t="shared" si="23"/>
        <v>128578.17755305418</v>
      </c>
      <c r="O164" s="9">
        <f t="shared" si="24"/>
        <v>54086.078009212048</v>
      </c>
      <c r="P164" s="6">
        <f t="shared" si="28"/>
        <v>32889535.724668432</v>
      </c>
    </row>
    <row r="165" spans="1:16" x14ac:dyDescent="0.2">
      <c r="A165" s="3">
        <f t="shared" si="20"/>
        <v>164</v>
      </c>
      <c r="B165" s="6">
        <f t="shared" si="29"/>
        <v>32760957.547115378</v>
      </c>
      <c r="C165" s="9">
        <f t="shared" si="25"/>
        <v>182563.6399671316</v>
      </c>
      <c r="D165" s="9">
        <f t="shared" si="26"/>
        <v>128899.6229969368</v>
      </c>
      <c r="E165" s="9">
        <f t="shared" si="21"/>
        <v>53664.016970194811</v>
      </c>
      <c r="F165" s="9" t="b">
        <v>0</v>
      </c>
      <c r="G165" s="24" t="str">
        <f t="shared" si="27"/>
        <v/>
      </c>
      <c r="H165" s="9"/>
      <c r="M165" s="9">
        <f t="shared" si="22"/>
        <v>210802.01686472524</v>
      </c>
      <c r="N165" s="9">
        <f t="shared" si="23"/>
        <v>128899.6229969368</v>
      </c>
      <c r="O165" s="9">
        <f t="shared" si="24"/>
        <v>53664.016970194811</v>
      </c>
      <c r="P165" s="6">
        <f t="shared" si="28"/>
        <v>32760957.547115378</v>
      </c>
    </row>
    <row r="166" spans="1:16" x14ac:dyDescent="0.2">
      <c r="A166" s="3">
        <f t="shared" si="20"/>
        <v>165</v>
      </c>
      <c r="B166" s="6">
        <f t="shared" si="29"/>
        <v>32632057.924118441</v>
      </c>
      <c r="C166" s="9">
        <f t="shared" si="25"/>
        <v>182464.43227258019</v>
      </c>
      <c r="D166" s="9">
        <f t="shared" si="26"/>
        <v>129221.87205442913</v>
      </c>
      <c r="E166" s="9">
        <f t="shared" si="21"/>
        <v>53242.560218151055</v>
      </c>
      <c r="F166" s="9" t="b">
        <v>0</v>
      </c>
      <c r="G166" s="24" t="str">
        <f t="shared" si="27"/>
        <v/>
      </c>
      <c r="H166" s="9"/>
      <c r="M166" s="9">
        <f t="shared" si="22"/>
        <v>210802.01686472524</v>
      </c>
      <c r="N166" s="9">
        <f t="shared" si="23"/>
        <v>129221.87205442913</v>
      </c>
      <c r="O166" s="9">
        <f t="shared" si="24"/>
        <v>53242.560218151055</v>
      </c>
      <c r="P166" s="6">
        <f t="shared" si="28"/>
        <v>32632057.924118441</v>
      </c>
    </row>
    <row r="167" spans="1:16" x14ac:dyDescent="0.2">
      <c r="A167" s="3">
        <f t="shared" si="20"/>
        <v>166</v>
      </c>
      <c r="B167" s="6">
        <f t="shared" si="29"/>
        <v>32502836.052064013</v>
      </c>
      <c r="C167" s="9">
        <f t="shared" si="25"/>
        <v>182366.6443059328</v>
      </c>
      <c r="D167" s="9">
        <f t="shared" si="26"/>
        <v>129544.9267345652</v>
      </c>
      <c r="E167" s="9">
        <f t="shared" si="21"/>
        <v>52821.717571367612</v>
      </c>
      <c r="F167" s="9" t="b">
        <v>0</v>
      </c>
      <c r="G167" s="24" t="str">
        <f t="shared" si="27"/>
        <v/>
      </c>
      <c r="H167" s="9"/>
      <c r="M167" s="9">
        <f t="shared" si="22"/>
        <v>210802.01686472524</v>
      </c>
      <c r="N167" s="9">
        <f t="shared" si="23"/>
        <v>129544.9267345652</v>
      </c>
      <c r="O167" s="9">
        <f t="shared" si="24"/>
        <v>52821.717571367612</v>
      </c>
      <c r="P167" s="6">
        <f t="shared" si="28"/>
        <v>32502836.052064013</v>
      </c>
    </row>
    <row r="168" spans="1:16" x14ac:dyDescent="0.2">
      <c r="A168" s="3">
        <f t="shared" si="20"/>
        <v>167</v>
      </c>
      <c r="B168" s="6">
        <f t="shared" si="29"/>
        <v>32373291.125329446</v>
      </c>
      <c r="C168" s="9">
        <f t="shared" si="25"/>
        <v>182270.28796566834</v>
      </c>
      <c r="D168" s="9">
        <f t="shared" si="26"/>
        <v>129868.78905140162</v>
      </c>
      <c r="E168" s="9">
        <f t="shared" si="21"/>
        <v>52401.498914266711</v>
      </c>
      <c r="F168" s="9" t="b">
        <v>0</v>
      </c>
      <c r="G168" s="24" t="str">
        <f t="shared" si="27"/>
        <v/>
      </c>
      <c r="H168" s="9"/>
      <c r="M168" s="9">
        <f t="shared" si="22"/>
        <v>210802.01686472524</v>
      </c>
      <c r="N168" s="9">
        <f t="shared" si="23"/>
        <v>129868.78905140162</v>
      </c>
      <c r="O168" s="9">
        <f t="shared" si="24"/>
        <v>52401.498914266711</v>
      </c>
      <c r="P168" s="6">
        <f t="shared" si="28"/>
        <v>32373291.125329446</v>
      </c>
    </row>
    <row r="169" spans="1:16" x14ac:dyDescent="0.2">
      <c r="A169" s="3">
        <f t="shared" si="20"/>
        <v>168</v>
      </c>
      <c r="B169" s="6">
        <f t="shared" si="29"/>
        <v>32243422.336278044</v>
      </c>
      <c r="C169" s="9">
        <f t="shared" si="25"/>
        <v>182175.37522180981</v>
      </c>
      <c r="D169" s="9">
        <f t="shared" si="26"/>
        <v>130193.46102403011</v>
      </c>
      <c r="E169" s="9">
        <f t="shared" si="21"/>
        <v>51981.914197779697</v>
      </c>
      <c r="F169" s="9" t="b">
        <v>0</v>
      </c>
      <c r="G169" s="24" t="str">
        <f t="shared" si="27"/>
        <v/>
      </c>
      <c r="H169" s="9"/>
      <c r="M169" s="9">
        <f t="shared" si="22"/>
        <v>210802.01686472524</v>
      </c>
      <c r="N169" s="9">
        <f t="shared" si="23"/>
        <v>130193.46102403011</v>
      </c>
      <c r="O169" s="9">
        <f t="shared" si="24"/>
        <v>51981.914197779697</v>
      </c>
      <c r="P169" s="6">
        <f t="shared" si="28"/>
        <v>32243422.336278044</v>
      </c>
    </row>
    <row r="170" spans="1:16" x14ac:dyDescent="0.2">
      <c r="A170" s="3">
        <f t="shared" si="20"/>
        <v>169</v>
      </c>
      <c r="B170" s="6">
        <f t="shared" si="29"/>
        <v>32113228.875254013</v>
      </c>
      <c r="C170" s="9">
        <f t="shared" si="25"/>
        <v>182081.91811631259</v>
      </c>
      <c r="D170" s="9">
        <f t="shared" si="26"/>
        <v>130518.9446765902</v>
      </c>
      <c r="E170" s="9">
        <f t="shared" si="21"/>
        <v>51562.973439722409</v>
      </c>
      <c r="F170" s="9" t="b">
        <v>0</v>
      </c>
      <c r="G170" s="24" t="str">
        <f t="shared" si="27"/>
        <v/>
      </c>
      <c r="H170" s="9"/>
      <c r="M170" s="9">
        <f t="shared" si="22"/>
        <v>210802.01686472524</v>
      </c>
      <c r="N170" s="9">
        <f t="shared" si="23"/>
        <v>130518.9446765902</v>
      </c>
      <c r="O170" s="9">
        <f t="shared" si="24"/>
        <v>51562.973439722409</v>
      </c>
      <c r="P170" s="6">
        <f t="shared" si="28"/>
        <v>32113228.875254013</v>
      </c>
    </row>
    <row r="171" spans="1:16" x14ac:dyDescent="0.2">
      <c r="A171" s="3">
        <f t="shared" si="20"/>
        <v>170</v>
      </c>
      <c r="B171" s="6">
        <f t="shared" si="29"/>
        <v>31982709.930577423</v>
      </c>
      <c r="C171" s="9">
        <f t="shared" si="25"/>
        <v>181989.92876345449</v>
      </c>
      <c r="D171" s="9">
        <f t="shared" si="26"/>
        <v>130845.24203828168</v>
      </c>
      <c r="E171" s="9">
        <f t="shared" si="21"/>
        <v>51144.686725172796</v>
      </c>
      <c r="F171" s="9" t="b">
        <v>0</v>
      </c>
      <c r="G171" s="24" t="str">
        <f t="shared" si="27"/>
        <v/>
      </c>
      <c r="H171" s="9"/>
      <c r="M171" s="9">
        <f t="shared" si="22"/>
        <v>210802.01686472524</v>
      </c>
      <c r="N171" s="9">
        <f t="shared" si="23"/>
        <v>130845.24203828168</v>
      </c>
      <c r="O171" s="9">
        <f t="shared" si="24"/>
        <v>51144.686725172796</v>
      </c>
      <c r="P171" s="6">
        <f t="shared" si="28"/>
        <v>31982709.930577423</v>
      </c>
    </row>
    <row r="172" spans="1:16" x14ac:dyDescent="0.2">
      <c r="A172" s="3">
        <f t="shared" si="20"/>
        <v>171</v>
      </c>
      <c r="B172" s="6">
        <f t="shared" si="29"/>
        <v>31851864.68853914</v>
      </c>
      <c r="C172" s="9">
        <f t="shared" si="25"/>
        <v>181899.41935022772</v>
      </c>
      <c r="D172" s="9">
        <f t="shared" si="26"/>
        <v>131172.35514337738</v>
      </c>
      <c r="E172" s="9">
        <f t="shared" si="21"/>
        <v>50727.064206850337</v>
      </c>
      <c r="F172" s="9" t="b">
        <v>0</v>
      </c>
      <c r="G172" s="24" t="str">
        <f t="shared" si="27"/>
        <v/>
      </c>
      <c r="H172" s="9"/>
      <c r="M172" s="9">
        <f t="shared" si="22"/>
        <v>210802.01686472524</v>
      </c>
      <c r="N172" s="9">
        <f t="shared" si="23"/>
        <v>131172.35514337738</v>
      </c>
      <c r="O172" s="9">
        <f t="shared" si="24"/>
        <v>50727.064206850337</v>
      </c>
      <c r="P172" s="6">
        <f t="shared" si="28"/>
        <v>31851864.68853914</v>
      </c>
    </row>
    <row r="173" spans="1:16" x14ac:dyDescent="0.2">
      <c r="A173" s="3">
        <f t="shared" si="20"/>
        <v>172</v>
      </c>
      <c r="B173" s="6">
        <f t="shared" si="29"/>
        <v>31720692.333395764</v>
      </c>
      <c r="C173" s="9">
        <f t="shared" si="25"/>
        <v>181810.40213673346</v>
      </c>
      <c r="D173" s="9">
        <f t="shared" si="26"/>
        <v>131500.28603123582</v>
      </c>
      <c r="E173" s="9">
        <f t="shared" si="21"/>
        <v>50310.116105497647</v>
      </c>
      <c r="F173" s="9" t="b">
        <v>0</v>
      </c>
      <c r="G173" s="24" t="str">
        <f t="shared" si="27"/>
        <v/>
      </c>
      <c r="H173" s="9"/>
      <c r="M173" s="9">
        <f t="shared" si="22"/>
        <v>210802.01686472524</v>
      </c>
      <c r="N173" s="9">
        <f t="shared" si="23"/>
        <v>131500.28603123582</v>
      </c>
      <c r="O173" s="9">
        <f t="shared" si="24"/>
        <v>50310.116105497647</v>
      </c>
      <c r="P173" s="6">
        <f t="shared" si="28"/>
        <v>31720692.333395764</v>
      </c>
    </row>
    <row r="174" spans="1:16" x14ac:dyDescent="0.2">
      <c r="A174" s="3">
        <f t="shared" si="20"/>
        <v>173</v>
      </c>
      <c r="B174" s="6">
        <f t="shared" si="29"/>
        <v>31589192.047364529</v>
      </c>
      <c r="C174" s="9">
        <f t="shared" si="25"/>
        <v>181722.88945657786</v>
      </c>
      <c r="D174" s="9">
        <f t="shared" si="26"/>
        <v>131829.03674631394</v>
      </c>
      <c r="E174" s="9">
        <f t="shared" si="21"/>
        <v>49893.852710263927</v>
      </c>
      <c r="F174" s="9" t="b">
        <v>0</v>
      </c>
      <c r="G174" s="24" t="str">
        <f t="shared" si="27"/>
        <v/>
      </c>
      <c r="H174" s="9"/>
      <c r="M174" s="9">
        <f t="shared" si="22"/>
        <v>210802.01686472524</v>
      </c>
      <c r="N174" s="9">
        <f t="shared" si="23"/>
        <v>131829.03674631394</v>
      </c>
      <c r="O174" s="9">
        <f t="shared" si="24"/>
        <v>49893.852710263927</v>
      </c>
      <c r="P174" s="6">
        <f t="shared" si="28"/>
        <v>31589192.047364529</v>
      </c>
    </row>
    <row r="175" spans="1:16" x14ac:dyDescent="0.2">
      <c r="A175" s="3">
        <f t="shared" si="20"/>
        <v>174</v>
      </c>
      <c r="B175" s="6">
        <f t="shared" si="29"/>
        <v>31457363.010618214</v>
      </c>
      <c r="C175" s="9">
        <f t="shared" si="25"/>
        <v>181636.89371727026</v>
      </c>
      <c r="D175" s="9">
        <f t="shared" si="26"/>
        <v>132158.6093381797</v>
      </c>
      <c r="E175" s="9">
        <f t="shared" si="21"/>
        <v>49478.284379090568</v>
      </c>
      <c r="F175" s="9" t="b">
        <v>0</v>
      </c>
      <c r="G175" s="24" t="str">
        <f t="shared" si="27"/>
        <v/>
      </c>
      <c r="H175" s="9"/>
      <c r="M175" s="9">
        <f t="shared" si="22"/>
        <v>210802.01686472524</v>
      </c>
      <c r="N175" s="9">
        <f t="shared" si="23"/>
        <v>132158.6093381797</v>
      </c>
      <c r="O175" s="9">
        <f t="shared" si="24"/>
        <v>49478.284379090568</v>
      </c>
      <c r="P175" s="6">
        <f t="shared" si="28"/>
        <v>31457363.010618214</v>
      </c>
    </row>
    <row r="176" spans="1:16" x14ac:dyDescent="0.2">
      <c r="A176" s="3">
        <f t="shared" si="20"/>
        <v>175</v>
      </c>
      <c r="B176" s="6">
        <f t="shared" si="29"/>
        <v>31325204.401280034</v>
      </c>
      <c r="C176" s="9">
        <f t="shared" si="25"/>
        <v>181552.42740062386</v>
      </c>
      <c r="D176" s="9">
        <f t="shared" si="26"/>
        <v>132489.00586152513</v>
      </c>
      <c r="E176" s="9">
        <f t="shared" si="21"/>
        <v>49063.421539098716</v>
      </c>
      <c r="F176" s="9" t="b">
        <v>0</v>
      </c>
      <c r="G176" s="24" t="str">
        <f t="shared" si="27"/>
        <v/>
      </c>
      <c r="H176" s="9"/>
      <c r="M176" s="9">
        <f t="shared" si="22"/>
        <v>210802.01686472524</v>
      </c>
      <c r="N176" s="9">
        <f t="shared" si="23"/>
        <v>132489.00586152513</v>
      </c>
      <c r="O176" s="9">
        <f t="shared" si="24"/>
        <v>49063.421539098716</v>
      </c>
      <c r="P176" s="6">
        <f t="shared" si="28"/>
        <v>31325204.401280034</v>
      </c>
    </row>
    <row r="177" spans="1:16" x14ac:dyDescent="0.2">
      <c r="A177" s="3">
        <f t="shared" si="20"/>
        <v>176</v>
      </c>
      <c r="B177" s="6">
        <f t="shared" si="29"/>
        <v>31192715.39541851</v>
      </c>
      <c r="C177" s="9">
        <f t="shared" si="25"/>
        <v>181469.50306315793</v>
      </c>
      <c r="D177" s="9">
        <f t="shared" si="26"/>
        <v>132820.22837617897</v>
      </c>
      <c r="E177" s="9">
        <f t="shared" si="21"/>
        <v>48649.274686978955</v>
      </c>
      <c r="F177" s="9" t="b">
        <v>0</v>
      </c>
      <c r="G177" s="24" t="str">
        <f t="shared" si="27"/>
        <v/>
      </c>
      <c r="H177" s="9"/>
      <c r="M177" s="9">
        <f t="shared" si="22"/>
        <v>210802.01686472524</v>
      </c>
      <c r="N177" s="9">
        <f t="shared" si="23"/>
        <v>132820.22837617897</v>
      </c>
      <c r="O177" s="9">
        <f t="shared" si="24"/>
        <v>48649.274686978955</v>
      </c>
      <c r="P177" s="6">
        <f t="shared" si="28"/>
        <v>31192715.39541851</v>
      </c>
    </row>
    <row r="178" spans="1:16" x14ac:dyDescent="0.2">
      <c r="A178" s="3">
        <f t="shared" si="20"/>
        <v>177</v>
      </c>
      <c r="B178" s="6">
        <f t="shared" si="29"/>
        <v>31059895.16704233</v>
      </c>
      <c r="C178" s="9">
        <f t="shared" si="25"/>
        <v>181388.13333650239</v>
      </c>
      <c r="D178" s="9">
        <f t="shared" si="26"/>
        <v>133152.2789471194</v>
      </c>
      <c r="E178" s="9">
        <f t="shared" si="21"/>
        <v>48235.854389382985</v>
      </c>
      <c r="F178" s="9" t="b">
        <v>0</v>
      </c>
      <c r="G178" s="24" t="str">
        <f t="shared" si="27"/>
        <v/>
      </c>
      <c r="H178" s="9"/>
      <c r="M178" s="9">
        <f t="shared" si="22"/>
        <v>210802.01686472524</v>
      </c>
      <c r="N178" s="9">
        <f t="shared" si="23"/>
        <v>133152.2789471194</v>
      </c>
      <c r="O178" s="9">
        <f t="shared" si="24"/>
        <v>48235.854389382985</v>
      </c>
      <c r="P178" s="6">
        <f t="shared" si="28"/>
        <v>31059895.16704233</v>
      </c>
    </row>
    <row r="179" spans="1:16" x14ac:dyDescent="0.2">
      <c r="A179" s="3">
        <f t="shared" si="20"/>
        <v>178</v>
      </c>
      <c r="B179" s="6">
        <f t="shared" si="29"/>
        <v>30926742.888095211</v>
      </c>
      <c r="C179" s="9">
        <f t="shared" si="25"/>
        <v>181308.33092780461</v>
      </c>
      <c r="D179" s="9">
        <f t="shared" si="26"/>
        <v>133485.1596444872</v>
      </c>
      <c r="E179" s="9">
        <f t="shared" si="21"/>
        <v>47823.171283317402</v>
      </c>
      <c r="F179" s="9" t="b">
        <v>0</v>
      </c>
      <c r="G179" s="24" t="str">
        <f t="shared" si="27"/>
        <v/>
      </c>
      <c r="H179" s="9"/>
      <c r="M179" s="9">
        <f t="shared" si="22"/>
        <v>210802.01686472524</v>
      </c>
      <c r="N179" s="9">
        <f t="shared" si="23"/>
        <v>133485.1596444872</v>
      </c>
      <c r="O179" s="9">
        <f t="shared" si="24"/>
        <v>47823.171283317402</v>
      </c>
      <c r="P179" s="6">
        <f t="shared" si="28"/>
        <v>30926742.888095211</v>
      </c>
    </row>
    <row r="180" spans="1:16" x14ac:dyDescent="0.2">
      <c r="A180" s="3">
        <f t="shared" si="20"/>
        <v>179</v>
      </c>
      <c r="B180" s="6">
        <f t="shared" si="29"/>
        <v>30793257.728450723</v>
      </c>
      <c r="C180" s="9">
        <f t="shared" si="25"/>
        <v>181230.10862013794</v>
      </c>
      <c r="D180" s="9">
        <f t="shared" si="26"/>
        <v>133818.87254359841</v>
      </c>
      <c r="E180" s="9">
        <f t="shared" si="21"/>
        <v>47411.236076539521</v>
      </c>
      <c r="F180" s="9" t="b">
        <v>0</v>
      </c>
      <c r="G180" s="24" t="str">
        <f t="shared" si="27"/>
        <v/>
      </c>
      <c r="H180" s="9"/>
      <c r="M180" s="9">
        <f t="shared" si="22"/>
        <v>210802.01686472524</v>
      </c>
      <c r="N180" s="9">
        <f t="shared" si="23"/>
        <v>133818.87254359841</v>
      </c>
      <c r="O180" s="9">
        <f t="shared" si="24"/>
        <v>47411.236076539521</v>
      </c>
      <c r="P180" s="6">
        <f t="shared" si="28"/>
        <v>30793257.728450723</v>
      </c>
    </row>
    <row r="181" spans="1:16" x14ac:dyDescent="0.2">
      <c r="A181" s="3">
        <f t="shared" si="20"/>
        <v>180</v>
      </c>
      <c r="B181" s="6">
        <f t="shared" si="29"/>
        <v>30659438.855907124</v>
      </c>
      <c r="C181" s="9">
        <f t="shared" si="25"/>
        <v>181153.47927291278</v>
      </c>
      <c r="D181" s="9">
        <f t="shared" si="26"/>
        <v>134153.41972495741</v>
      </c>
      <c r="E181" s="9">
        <f t="shared" si="21"/>
        <v>47000.059547955389</v>
      </c>
      <c r="F181" s="9" t="b">
        <v>0</v>
      </c>
      <c r="G181" s="24" t="str">
        <f t="shared" si="27"/>
        <v/>
      </c>
      <c r="H181" s="9"/>
      <c r="M181" s="9">
        <f t="shared" si="22"/>
        <v>210802.01686472524</v>
      </c>
      <c r="N181" s="9">
        <f t="shared" si="23"/>
        <v>134153.41972495741</v>
      </c>
      <c r="O181" s="9">
        <f t="shared" si="24"/>
        <v>47000.059547955389</v>
      </c>
      <c r="P181" s="6">
        <f t="shared" si="28"/>
        <v>30659438.855907124</v>
      </c>
    </row>
    <row r="182" spans="1:16" x14ac:dyDescent="0.2">
      <c r="A182" s="3">
        <f t="shared" si="20"/>
        <v>181</v>
      </c>
      <c r="B182" s="6">
        <f t="shared" si="29"/>
        <v>30525285.436182167</v>
      </c>
      <c r="C182" s="9">
        <f t="shared" si="25"/>
        <v>181078.4558222896</v>
      </c>
      <c r="D182" s="9">
        <f t="shared" si="26"/>
        <v>134488.80327426983</v>
      </c>
      <c r="E182" s="9">
        <f t="shared" si="21"/>
        <v>46589.652548019767</v>
      </c>
      <c r="F182" s="9" t="b">
        <v>0</v>
      </c>
      <c r="G182" s="24" t="str">
        <f t="shared" si="27"/>
        <v/>
      </c>
      <c r="H182" s="9"/>
      <c r="M182" s="9">
        <f t="shared" si="22"/>
        <v>210802.01686472524</v>
      </c>
      <c r="N182" s="9">
        <f t="shared" si="23"/>
        <v>134488.80327426983</v>
      </c>
      <c r="O182" s="9">
        <f t="shared" si="24"/>
        <v>46589.652548019767</v>
      </c>
      <c r="P182" s="6">
        <f t="shared" si="28"/>
        <v>30525285.436182167</v>
      </c>
    </row>
    <row r="183" spans="1:16" x14ac:dyDescent="0.2">
      <c r="A183" s="3">
        <f t="shared" si="20"/>
        <v>182</v>
      </c>
      <c r="B183" s="6">
        <f t="shared" si="29"/>
        <v>30390796.632907897</v>
      </c>
      <c r="C183" s="9">
        <f t="shared" si="25"/>
        <v>181005.0512815938</v>
      </c>
      <c r="D183" s="9">
        <f t="shared" si="26"/>
        <v>134825.02528245549</v>
      </c>
      <c r="E183" s="9">
        <f t="shared" si="21"/>
        <v>46180.025999138299</v>
      </c>
      <c r="F183" s="9" t="b">
        <v>0</v>
      </c>
      <c r="G183" s="24" t="str">
        <f t="shared" si="27"/>
        <v/>
      </c>
      <c r="H183" s="9"/>
      <c r="M183" s="9">
        <f t="shared" si="22"/>
        <v>210802.01686472524</v>
      </c>
      <c r="N183" s="9">
        <f t="shared" si="23"/>
        <v>134825.02528245549</v>
      </c>
      <c r="O183" s="9">
        <f t="shared" si="24"/>
        <v>46180.025999138299</v>
      </c>
      <c r="P183" s="6">
        <f t="shared" si="28"/>
        <v>30390796.632907897</v>
      </c>
    </row>
    <row r="184" spans="1:16" x14ac:dyDescent="0.2">
      <c r="A184" s="3">
        <f t="shared" si="20"/>
        <v>183</v>
      </c>
      <c r="B184" s="6">
        <f t="shared" si="29"/>
        <v>30255971.607625443</v>
      </c>
      <c r="C184" s="9">
        <f t="shared" si="25"/>
        <v>180933.27874173352</v>
      </c>
      <c r="D184" s="9">
        <f t="shared" si="26"/>
        <v>135162.08784566165</v>
      </c>
      <c r="E184" s="9">
        <f t="shared" si="21"/>
        <v>45771.190896071857</v>
      </c>
      <c r="F184" s="9" t="b">
        <v>0</v>
      </c>
      <c r="G184" s="24" t="str">
        <f t="shared" si="27"/>
        <v/>
      </c>
      <c r="H184" s="9"/>
      <c r="M184" s="9">
        <f t="shared" si="22"/>
        <v>210802.01686472524</v>
      </c>
      <c r="N184" s="9">
        <f t="shared" si="23"/>
        <v>135162.08784566165</v>
      </c>
      <c r="O184" s="9">
        <f t="shared" si="24"/>
        <v>45771.190896071857</v>
      </c>
      <c r="P184" s="6">
        <f t="shared" si="28"/>
        <v>30255971.607625443</v>
      </c>
    </row>
    <row r="185" spans="1:16" x14ac:dyDescent="0.2">
      <c r="A185" s="3">
        <f t="shared" si="20"/>
        <v>184</v>
      </c>
      <c r="B185" s="6">
        <f t="shared" si="29"/>
        <v>30120809.519779783</v>
      </c>
      <c r="C185" s="9">
        <f t="shared" si="25"/>
        <v>180863.15137161859</v>
      </c>
      <c r="D185" s="9">
        <f t="shared" si="26"/>
        <v>135499.99306527578</v>
      </c>
      <c r="E185" s="9">
        <f t="shared" si="21"/>
        <v>45363.158306342819</v>
      </c>
      <c r="F185" s="9" t="b">
        <v>0</v>
      </c>
      <c r="G185" s="24" t="str">
        <f t="shared" si="27"/>
        <v/>
      </c>
      <c r="H185" s="9"/>
      <c r="M185" s="9">
        <f t="shared" si="22"/>
        <v>210802.01686472524</v>
      </c>
      <c r="N185" s="9">
        <f t="shared" si="23"/>
        <v>135499.99306527578</v>
      </c>
      <c r="O185" s="9">
        <f t="shared" si="24"/>
        <v>45363.158306342819</v>
      </c>
      <c r="P185" s="6">
        <f t="shared" si="28"/>
        <v>30120809.519779783</v>
      </c>
    </row>
    <row r="186" spans="1:16" x14ac:dyDescent="0.2">
      <c r="A186" s="3">
        <f t="shared" si="20"/>
        <v>185</v>
      </c>
      <c r="B186" s="6">
        <f t="shared" si="29"/>
        <v>29985309.526714507</v>
      </c>
      <c r="C186" s="9">
        <f t="shared" si="25"/>
        <v>180794.68241858279</v>
      </c>
      <c r="D186" s="9">
        <f t="shared" si="26"/>
        <v>135838.74304793897</v>
      </c>
      <c r="E186" s="9">
        <f t="shared" si="21"/>
        <v>44955.939370643799</v>
      </c>
      <c r="F186" s="9" t="b">
        <v>0</v>
      </c>
      <c r="G186" s="24" t="str">
        <f t="shared" si="27"/>
        <v/>
      </c>
      <c r="H186" s="9"/>
      <c r="M186" s="9">
        <f t="shared" si="22"/>
        <v>210802.01686472524</v>
      </c>
      <c r="N186" s="9">
        <f t="shared" si="23"/>
        <v>135838.74304793897</v>
      </c>
      <c r="O186" s="9">
        <f t="shared" si="24"/>
        <v>44955.939370643799</v>
      </c>
      <c r="P186" s="6">
        <f t="shared" si="28"/>
        <v>29985309.526714507</v>
      </c>
    </row>
    <row r="187" spans="1:16" x14ac:dyDescent="0.2">
      <c r="A187" s="3">
        <f t="shared" si="20"/>
        <v>186</v>
      </c>
      <c r="B187" s="6">
        <f t="shared" si="29"/>
        <v>29849470.78366657</v>
      </c>
      <c r="C187" s="9">
        <f t="shared" si="25"/>
        <v>180727.88520880701</v>
      </c>
      <c r="D187" s="9">
        <f t="shared" si="26"/>
        <v>136178.33990555882</v>
      </c>
      <c r="E187" s="9">
        <f t="shared" si="21"/>
        <v>44549.545303248204</v>
      </c>
      <c r="F187" s="9" t="b">
        <v>0</v>
      </c>
      <c r="G187" s="24" t="str">
        <f t="shared" si="27"/>
        <v/>
      </c>
      <c r="H187" s="9"/>
      <c r="M187" s="9">
        <f t="shared" si="22"/>
        <v>210802.01686472524</v>
      </c>
      <c r="N187" s="9">
        <f t="shared" si="23"/>
        <v>136178.33990555882</v>
      </c>
      <c r="O187" s="9">
        <f t="shared" si="24"/>
        <v>44549.545303248204</v>
      </c>
      <c r="P187" s="6">
        <f t="shared" si="28"/>
        <v>29849470.78366657</v>
      </c>
    </row>
    <row r="188" spans="1:16" x14ac:dyDescent="0.2">
      <c r="A188" s="3">
        <f t="shared" si="20"/>
        <v>187</v>
      </c>
      <c r="B188" s="6">
        <f t="shared" si="29"/>
        <v>29713292.44376101</v>
      </c>
      <c r="C188" s="9">
        <f t="shared" si="25"/>
        <v>180662.77314774599</v>
      </c>
      <c r="D188" s="9">
        <f t="shared" si="26"/>
        <v>136518.78575532272</v>
      </c>
      <c r="E188" s="9">
        <f t="shared" si="21"/>
        <v>44143.98739242326</v>
      </c>
      <c r="F188" s="9" t="b">
        <v>0</v>
      </c>
      <c r="G188" s="24" t="str">
        <f t="shared" si="27"/>
        <v/>
      </c>
      <c r="H188" s="9"/>
      <c r="M188" s="9">
        <f t="shared" si="22"/>
        <v>210802.01686472524</v>
      </c>
      <c r="N188" s="9">
        <f t="shared" si="23"/>
        <v>136518.78575532272</v>
      </c>
      <c r="O188" s="9">
        <f t="shared" si="24"/>
        <v>44143.98739242326</v>
      </c>
      <c r="P188" s="6">
        <f t="shared" si="28"/>
        <v>29713292.44376101</v>
      </c>
    </row>
    <row r="189" spans="1:16" x14ac:dyDescent="0.2">
      <c r="A189" s="3">
        <f t="shared" si="20"/>
        <v>188</v>
      </c>
      <c r="B189" s="6">
        <f t="shared" si="29"/>
        <v>29576773.658005688</v>
      </c>
      <c r="C189" s="9">
        <f t="shared" si="25"/>
        <v>180599.35972055601</v>
      </c>
      <c r="D189" s="9">
        <f t="shared" si="26"/>
        <v>136860.08271971103</v>
      </c>
      <c r="E189" s="9">
        <f t="shared" si="21"/>
        <v>43739.277000844966</v>
      </c>
      <c r="F189" s="9" t="b">
        <v>0</v>
      </c>
      <c r="G189" s="24" t="str">
        <f t="shared" si="27"/>
        <v/>
      </c>
      <c r="H189" s="9"/>
      <c r="M189" s="9">
        <f t="shared" si="22"/>
        <v>210802.01686472524</v>
      </c>
      <c r="N189" s="9">
        <f t="shared" si="23"/>
        <v>136860.08271971103</v>
      </c>
      <c r="O189" s="9">
        <f t="shared" si="24"/>
        <v>43739.277000844966</v>
      </c>
      <c r="P189" s="6">
        <f t="shared" si="28"/>
        <v>29576773.658005688</v>
      </c>
    </row>
    <row r="190" spans="1:16" x14ac:dyDescent="0.2">
      <c r="A190" s="3">
        <f t="shared" si="20"/>
        <v>189</v>
      </c>
      <c r="B190" s="6">
        <f t="shared" si="29"/>
        <v>29439913.575285979</v>
      </c>
      <c r="C190" s="9">
        <f t="shared" si="25"/>
        <v>180537.65849252569</v>
      </c>
      <c r="D190" s="9">
        <f t="shared" si="26"/>
        <v>137202.2329265103</v>
      </c>
      <c r="E190" s="9">
        <f t="shared" si="21"/>
        <v>43335.425566015387</v>
      </c>
      <c r="F190" s="9" t="b">
        <v>0</v>
      </c>
      <c r="G190" s="24" t="str">
        <f t="shared" si="27"/>
        <v/>
      </c>
      <c r="H190" s="9"/>
      <c r="M190" s="9">
        <f t="shared" si="22"/>
        <v>210802.01686472524</v>
      </c>
      <c r="N190" s="9">
        <f t="shared" si="23"/>
        <v>137202.2329265103</v>
      </c>
      <c r="O190" s="9">
        <f t="shared" si="24"/>
        <v>43335.425566015387</v>
      </c>
      <c r="P190" s="6">
        <f t="shared" si="28"/>
        <v>29439913.575285979</v>
      </c>
    </row>
    <row r="191" spans="1:16" x14ac:dyDescent="0.2">
      <c r="A191" s="3">
        <f t="shared" si="20"/>
        <v>190</v>
      </c>
      <c r="B191" s="6">
        <f t="shared" si="29"/>
        <v>29302711.342359468</v>
      </c>
      <c r="C191" s="9">
        <f t="shared" si="25"/>
        <v>180477.68310950865</v>
      </c>
      <c r="D191" s="9">
        <f t="shared" si="26"/>
        <v>137545.23850882656</v>
      </c>
      <c r="E191" s="9">
        <f t="shared" si="21"/>
        <v>42932.444600682102</v>
      </c>
      <c r="F191" s="9" t="b">
        <v>0</v>
      </c>
      <c r="G191" s="24" t="str">
        <f t="shared" si="27"/>
        <v/>
      </c>
      <c r="H191" s="9"/>
      <c r="M191" s="9">
        <f t="shared" si="22"/>
        <v>210802.01686472524</v>
      </c>
      <c r="N191" s="9">
        <f t="shared" si="23"/>
        <v>137545.23850882656</v>
      </c>
      <c r="O191" s="9">
        <f t="shared" si="24"/>
        <v>42932.444600682102</v>
      </c>
      <c r="P191" s="6">
        <f t="shared" si="28"/>
        <v>29302711.342359468</v>
      </c>
    </row>
    <row r="192" spans="1:16" x14ac:dyDescent="0.2">
      <c r="A192" s="3">
        <f t="shared" si="20"/>
        <v>191</v>
      </c>
      <c r="B192" s="6">
        <f t="shared" si="29"/>
        <v>29165166.10385064</v>
      </c>
      <c r="C192" s="9">
        <f t="shared" si="25"/>
        <v>180419.44729835854</v>
      </c>
      <c r="D192" s="9">
        <f t="shared" si="26"/>
        <v>137889.10160509864</v>
      </c>
      <c r="E192" s="9">
        <f t="shared" si="21"/>
        <v>42530.345693259922</v>
      </c>
      <c r="F192" s="9" t="b">
        <v>0</v>
      </c>
      <c r="G192" s="24" t="str">
        <f t="shared" si="27"/>
        <v/>
      </c>
      <c r="H192" s="9"/>
      <c r="M192" s="9">
        <f t="shared" si="22"/>
        <v>210802.01686472524</v>
      </c>
      <c r="N192" s="9">
        <f t="shared" si="23"/>
        <v>137889.10160509864</v>
      </c>
      <c r="O192" s="9">
        <f t="shared" si="24"/>
        <v>42530.345693259922</v>
      </c>
      <c r="P192" s="6">
        <f t="shared" si="28"/>
        <v>29165166.10385064</v>
      </c>
    </row>
    <row r="193" spans="1:16" x14ac:dyDescent="0.2">
      <c r="A193" s="3">
        <f t="shared" si="20"/>
        <v>192</v>
      </c>
      <c r="B193" s="6">
        <f t="shared" si="29"/>
        <v>29027277.002245542</v>
      </c>
      <c r="C193" s="9">
        <f t="shared" si="25"/>
        <v>180362.96486736601</v>
      </c>
      <c r="D193" s="9">
        <f t="shared" si="26"/>
        <v>138233.82435911137</v>
      </c>
      <c r="E193" s="9">
        <f t="shared" si="21"/>
        <v>42129.140508254648</v>
      </c>
      <c r="F193" s="9" t="b">
        <v>0</v>
      </c>
      <c r="G193" s="24" t="str">
        <f t="shared" si="27"/>
        <v/>
      </c>
      <c r="H193" s="9"/>
      <c r="M193" s="9">
        <f t="shared" si="22"/>
        <v>210802.01686472524</v>
      </c>
      <c r="N193" s="9">
        <f t="shared" si="23"/>
        <v>138233.82435911137</v>
      </c>
      <c r="O193" s="9">
        <f t="shared" si="24"/>
        <v>42129.140508254648</v>
      </c>
      <c r="P193" s="6">
        <f t="shared" si="28"/>
        <v>29027277.002245542</v>
      </c>
    </row>
    <row r="194" spans="1:16" x14ac:dyDescent="0.2">
      <c r="A194" s="3">
        <f t="shared" ref="A194:A257" si="30">IF(ROW(A194)-1&gt;$I$4,"",ROW(A194)-1)</f>
        <v>193</v>
      </c>
      <c r="B194" s="6">
        <f t="shared" si="29"/>
        <v>28889043.17788643</v>
      </c>
      <c r="C194" s="9">
        <f t="shared" si="25"/>
        <v>180308.24970669852</v>
      </c>
      <c r="D194" s="9">
        <f t="shared" si="26"/>
        <v>138579.40892000918</v>
      </c>
      <c r="E194" s="9">
        <f t="shared" ref="E194:E257" si="31">MAX(0,-IPMT($I$2/12,A194, $I$4,B194))</f>
        <v>41728.840786689332</v>
      </c>
      <c r="F194" s="9" t="b">
        <v>0</v>
      </c>
      <c r="G194" s="24" t="str">
        <f t="shared" si="27"/>
        <v/>
      </c>
      <c r="H194" s="9"/>
      <c r="M194" s="9">
        <f t="shared" ref="M194:M257" si="32">-PMT($I$2/12, ($I$4/12)*12, $I$3)</f>
        <v>210802.01686472524</v>
      </c>
      <c r="N194" s="9">
        <f t="shared" ref="N194:N257" si="33">-PPMT($I$2/12,A194,$I$4, $I$3)</f>
        <v>138579.40892000918</v>
      </c>
      <c r="O194" s="9">
        <f t="shared" ref="O194:O257" si="34">MAX(0,-IPMT($I$2/12,A194, $I$4,P194))</f>
        <v>41728.840786689332</v>
      </c>
      <c r="P194" s="6">
        <f t="shared" si="28"/>
        <v>28889043.17788643</v>
      </c>
    </row>
    <row r="195" spans="1:16" x14ac:dyDescent="0.2">
      <c r="A195" s="3">
        <f t="shared" si="30"/>
        <v>194</v>
      </c>
      <c r="B195" s="6">
        <f t="shared" si="29"/>
        <v>28750463.768966421</v>
      </c>
      <c r="C195" s="9">
        <f t="shared" ref="C195:C258" si="35">IF(B195&gt;0, IF(F195=TRUE, D195+E195+G195,D195+E195), "")</f>
        <v>180255.31578884175</v>
      </c>
      <c r="D195" s="9">
        <f t="shared" ref="D195:D258" si="36">-PPMT($I$2/12,A195,$I$4, $I$3)</f>
        <v>138925.85744230921</v>
      </c>
      <c r="E195" s="9">
        <f t="shared" si="31"/>
        <v>41329.458346532541</v>
      </c>
      <c r="F195" s="9" t="b">
        <v>0</v>
      </c>
      <c r="G195" s="24" t="str">
        <f t="shared" ref="G195:G258" si="37">IF(F195=TRUE,D195*2,"")</f>
        <v/>
      </c>
      <c r="H195" s="9"/>
      <c r="M195" s="9">
        <f t="shared" si="32"/>
        <v>210802.01686472524</v>
      </c>
      <c r="N195" s="9">
        <f t="shared" si="33"/>
        <v>138925.85744230921</v>
      </c>
      <c r="O195" s="9">
        <f t="shared" si="34"/>
        <v>41329.458346532541</v>
      </c>
      <c r="P195" s="6">
        <f t="shared" ref="P195:P258" si="38">P194-N194</f>
        <v>28750463.768966421</v>
      </c>
    </row>
    <row r="196" spans="1:16" x14ac:dyDescent="0.2">
      <c r="A196" s="3">
        <f t="shared" si="30"/>
        <v>195</v>
      </c>
      <c r="B196" s="6">
        <f t="shared" ref="B196:B259" si="39">MAX(0,IF(F196=TRUE,B195-(D196+G196),B195-D195))</f>
        <v>28611537.911524113</v>
      </c>
      <c r="C196" s="9">
        <f t="shared" si="35"/>
        <v>180204.17716904401</v>
      </c>
      <c r="D196" s="9">
        <f t="shared" si="36"/>
        <v>139273.17208591494</v>
      </c>
      <c r="E196" s="9">
        <f t="shared" si="31"/>
        <v>40931.005083129079</v>
      </c>
      <c r="F196" s="9" t="b">
        <v>0</v>
      </c>
      <c r="G196" s="24" t="str">
        <f t="shared" si="37"/>
        <v/>
      </c>
      <c r="H196" s="9"/>
      <c r="M196" s="9">
        <f t="shared" si="32"/>
        <v>210802.01686472524</v>
      </c>
      <c r="N196" s="9">
        <f t="shared" si="33"/>
        <v>139273.17208591494</v>
      </c>
      <c r="O196" s="9">
        <f t="shared" si="34"/>
        <v>40931.005083129079</v>
      </c>
      <c r="P196" s="6">
        <f t="shared" si="38"/>
        <v>28611537.911524113</v>
      </c>
    </row>
    <row r="197" spans="1:16" x14ac:dyDescent="0.2">
      <c r="A197" s="3">
        <f t="shared" si="30"/>
        <v>196</v>
      </c>
      <c r="B197" s="6">
        <f t="shared" si="39"/>
        <v>28472264.739438199</v>
      </c>
      <c r="C197" s="9">
        <f t="shared" si="35"/>
        <v>180154.84798576252</v>
      </c>
      <c r="D197" s="9">
        <f t="shared" si="36"/>
        <v>139621.35501612973</v>
      </c>
      <c r="E197" s="9">
        <f t="shared" si="31"/>
        <v>40533.492969632789</v>
      </c>
      <c r="F197" s="9" t="b">
        <v>0</v>
      </c>
      <c r="G197" s="24" t="str">
        <f t="shared" si="37"/>
        <v/>
      </c>
      <c r="H197" s="9"/>
      <c r="M197" s="9">
        <f t="shared" si="32"/>
        <v>210802.01686472524</v>
      </c>
      <c r="N197" s="9">
        <f t="shared" si="33"/>
        <v>139621.35501612973</v>
      </c>
      <c r="O197" s="9">
        <f t="shared" si="34"/>
        <v>40533.492969632789</v>
      </c>
      <c r="P197" s="6">
        <f t="shared" si="38"/>
        <v>28472264.739438199</v>
      </c>
    </row>
    <row r="198" spans="1:16" x14ac:dyDescent="0.2">
      <c r="A198" s="3">
        <f t="shared" si="30"/>
        <v>197</v>
      </c>
      <c r="B198" s="6">
        <f t="shared" si="39"/>
        <v>28332643.384422068</v>
      </c>
      <c r="C198" s="9">
        <f t="shared" si="35"/>
        <v>180107.34246111184</v>
      </c>
      <c r="D198" s="9">
        <f t="shared" si="36"/>
        <v>139970.40840367007</v>
      </c>
      <c r="E198" s="9">
        <f t="shared" si="31"/>
        <v>40136.93405744178</v>
      </c>
      <c r="F198" s="9" t="b">
        <v>0</v>
      </c>
      <c r="G198" s="24" t="str">
        <f t="shared" si="37"/>
        <v/>
      </c>
      <c r="H198" s="9"/>
      <c r="M198" s="9">
        <f t="shared" si="32"/>
        <v>210802.01686472524</v>
      </c>
      <c r="N198" s="9">
        <f t="shared" si="33"/>
        <v>139970.40840367007</v>
      </c>
      <c r="O198" s="9">
        <f t="shared" si="34"/>
        <v>40136.93405744178</v>
      </c>
      <c r="P198" s="6">
        <f t="shared" si="38"/>
        <v>28332643.384422068</v>
      </c>
    </row>
    <row r="199" spans="1:16" x14ac:dyDescent="0.2">
      <c r="A199" s="3">
        <f t="shared" si="30"/>
        <v>198</v>
      </c>
      <c r="B199" s="6">
        <f t="shared" si="39"/>
        <v>28192672.976018399</v>
      </c>
      <c r="C199" s="9">
        <f t="shared" si="35"/>
        <v>180061.67490131516</v>
      </c>
      <c r="D199" s="9">
        <f t="shared" si="36"/>
        <v>140320.33442467925</v>
      </c>
      <c r="E199" s="9">
        <f t="shared" si="31"/>
        <v>39741.340476635902</v>
      </c>
      <c r="F199" s="9" t="b">
        <v>0</v>
      </c>
      <c r="G199" s="24" t="str">
        <f t="shared" si="37"/>
        <v/>
      </c>
      <c r="H199" s="9"/>
      <c r="M199" s="9">
        <f t="shared" si="32"/>
        <v>210802.01686472524</v>
      </c>
      <c r="N199" s="9">
        <f t="shared" si="33"/>
        <v>140320.33442467925</v>
      </c>
      <c r="O199" s="9">
        <f t="shared" si="34"/>
        <v>39741.340476635902</v>
      </c>
      <c r="P199" s="6">
        <f t="shared" si="38"/>
        <v>28192672.976018399</v>
      </c>
    </row>
    <row r="200" spans="1:16" x14ac:dyDescent="0.2">
      <c r="A200" s="3">
        <f t="shared" si="30"/>
        <v>199</v>
      </c>
      <c r="B200" s="6">
        <f t="shared" si="39"/>
        <v>28052352.641593721</v>
      </c>
      <c r="C200" s="9">
        <f t="shared" si="35"/>
        <v>180017.85969715746</v>
      </c>
      <c r="D200" s="9">
        <f t="shared" si="36"/>
        <v>140671.13526074096</v>
      </c>
      <c r="E200" s="9">
        <f t="shared" si="31"/>
        <v>39346.724436416509</v>
      </c>
      <c r="F200" s="9" t="b">
        <v>0</v>
      </c>
      <c r="G200" s="24" t="str">
        <f t="shared" si="37"/>
        <v/>
      </c>
      <c r="H200" s="9"/>
      <c r="M200" s="9">
        <f t="shared" si="32"/>
        <v>210802.01686472524</v>
      </c>
      <c r="N200" s="9">
        <f t="shared" si="33"/>
        <v>140671.13526074096</v>
      </c>
      <c r="O200" s="9">
        <f t="shared" si="34"/>
        <v>39346.724436416509</v>
      </c>
      <c r="P200" s="6">
        <f t="shared" si="38"/>
        <v>28052352.641593721</v>
      </c>
    </row>
    <row r="201" spans="1:16" x14ac:dyDescent="0.2">
      <c r="A201" s="3">
        <f t="shared" si="30"/>
        <v>200</v>
      </c>
      <c r="B201" s="6">
        <f t="shared" si="39"/>
        <v>27911681.506332979</v>
      </c>
      <c r="C201" s="9">
        <f t="shared" si="35"/>
        <v>179975.91132444132</v>
      </c>
      <c r="D201" s="9">
        <f t="shared" si="36"/>
        <v>141022.8130988928</v>
      </c>
      <c r="E201" s="9">
        <f t="shared" si="31"/>
        <v>38953.098225548521</v>
      </c>
      <c r="F201" s="9" t="b">
        <v>0</v>
      </c>
      <c r="G201" s="24" t="str">
        <f t="shared" si="37"/>
        <v/>
      </c>
      <c r="H201" s="9"/>
      <c r="M201" s="9">
        <f t="shared" si="32"/>
        <v>210802.01686472524</v>
      </c>
      <c r="N201" s="9">
        <f t="shared" si="33"/>
        <v>141022.8130988928</v>
      </c>
      <c r="O201" s="9">
        <f t="shared" si="34"/>
        <v>38953.098225548521</v>
      </c>
      <c r="P201" s="6">
        <f t="shared" si="38"/>
        <v>27911681.506332979</v>
      </c>
    </row>
    <row r="202" spans="1:16" x14ac:dyDescent="0.2">
      <c r="A202" s="3">
        <f t="shared" si="30"/>
        <v>201</v>
      </c>
      <c r="B202" s="6">
        <f t="shared" si="39"/>
        <v>27770658.693234086</v>
      </c>
      <c r="C202" s="9">
        <f t="shared" si="35"/>
        <v>179935.84434444492</v>
      </c>
      <c r="D202" s="9">
        <f t="shared" si="36"/>
        <v>141375.37013164003</v>
      </c>
      <c r="E202" s="9">
        <f t="shared" si="31"/>
        <v>38560.474212804882</v>
      </c>
      <c r="F202" s="9" t="b">
        <v>0</v>
      </c>
      <c r="G202" s="24" t="str">
        <f t="shared" si="37"/>
        <v/>
      </c>
      <c r="H202" s="9"/>
      <c r="M202" s="9">
        <f t="shared" si="32"/>
        <v>210802.01686472524</v>
      </c>
      <c r="N202" s="9">
        <f t="shared" si="33"/>
        <v>141375.37013164003</v>
      </c>
      <c r="O202" s="9">
        <f t="shared" si="34"/>
        <v>38560.474212804882</v>
      </c>
      <c r="P202" s="6">
        <f t="shared" si="38"/>
        <v>27770658.693234086</v>
      </c>
    </row>
    <row r="203" spans="1:16" x14ac:dyDescent="0.2">
      <c r="A203" s="3">
        <f t="shared" si="30"/>
        <v>202</v>
      </c>
      <c r="B203" s="6">
        <f t="shared" si="39"/>
        <v>27629283.323102444</v>
      </c>
      <c r="C203" s="9">
        <f t="shared" si="35"/>
        <v>179897.67340438248</v>
      </c>
      <c r="D203" s="9">
        <f t="shared" si="36"/>
        <v>141728.80855696913</v>
      </c>
      <c r="E203" s="9">
        <f t="shared" si="31"/>
        <v>38168.864847413344</v>
      </c>
      <c r="F203" s="9" t="b">
        <v>0</v>
      </c>
      <c r="G203" s="24" t="str">
        <f t="shared" si="37"/>
        <v/>
      </c>
      <c r="H203" s="9"/>
      <c r="M203" s="9">
        <f t="shared" si="32"/>
        <v>210802.01686472524</v>
      </c>
      <c r="N203" s="9">
        <f t="shared" si="33"/>
        <v>141728.80855696913</v>
      </c>
      <c r="O203" s="9">
        <f t="shared" si="34"/>
        <v>38168.864847413344</v>
      </c>
      <c r="P203" s="6">
        <f t="shared" si="38"/>
        <v>27629283.323102444</v>
      </c>
    </row>
    <row r="204" spans="1:16" x14ac:dyDescent="0.2">
      <c r="A204" s="3">
        <f t="shared" si="30"/>
        <v>203</v>
      </c>
      <c r="B204" s="6">
        <f t="shared" si="39"/>
        <v>27487554.514545474</v>
      </c>
      <c r="C204" s="9">
        <f t="shared" si="35"/>
        <v>179861.413237867</v>
      </c>
      <c r="D204" s="9">
        <f t="shared" si="36"/>
        <v>142083.13057836154</v>
      </c>
      <c r="E204" s="9">
        <f t="shared" si="31"/>
        <v>37778.282659505458</v>
      </c>
      <c r="F204" s="9" t="b">
        <v>0</v>
      </c>
      <c r="G204" s="24" t="str">
        <f t="shared" si="37"/>
        <v/>
      </c>
      <c r="H204" s="9"/>
      <c r="M204" s="9">
        <f t="shared" si="32"/>
        <v>210802.01686472524</v>
      </c>
      <c r="N204" s="9">
        <f t="shared" si="33"/>
        <v>142083.13057836154</v>
      </c>
      <c r="O204" s="9">
        <f t="shared" si="34"/>
        <v>37778.282659505458</v>
      </c>
      <c r="P204" s="6">
        <f t="shared" si="38"/>
        <v>27487554.514545474</v>
      </c>
    </row>
    <row r="205" spans="1:16" x14ac:dyDescent="0.2">
      <c r="A205" s="3">
        <f t="shared" si="30"/>
        <v>204</v>
      </c>
      <c r="B205" s="6">
        <f t="shared" si="39"/>
        <v>27345471.383967113</v>
      </c>
      <c r="C205" s="9">
        <f t="shared" si="35"/>
        <v>179827.07866537568</v>
      </c>
      <c r="D205" s="9">
        <f t="shared" si="36"/>
        <v>142438.33840480747</v>
      </c>
      <c r="E205" s="9">
        <f t="shared" si="31"/>
        <v>37388.740260568215</v>
      </c>
      <c r="F205" s="9" t="b">
        <v>0</v>
      </c>
      <c r="G205" s="24" t="str">
        <f t="shared" si="37"/>
        <v/>
      </c>
      <c r="H205" s="9"/>
      <c r="M205" s="9">
        <f t="shared" si="32"/>
        <v>210802.01686472524</v>
      </c>
      <c r="N205" s="9">
        <f t="shared" si="33"/>
        <v>142438.33840480747</v>
      </c>
      <c r="O205" s="9">
        <f t="shared" si="34"/>
        <v>37388.740260568215</v>
      </c>
      <c r="P205" s="6">
        <f t="shared" si="38"/>
        <v>27345471.383967113</v>
      </c>
    </row>
    <row r="206" spans="1:16" x14ac:dyDescent="0.2">
      <c r="A206" s="3">
        <f t="shared" si="30"/>
        <v>205</v>
      </c>
      <c r="B206" s="6">
        <f t="shared" si="39"/>
        <v>27203033.045562305</v>
      </c>
      <c r="C206" s="9">
        <f t="shared" si="35"/>
        <v>179794.6845947172</v>
      </c>
      <c r="D206" s="9">
        <f t="shared" si="36"/>
        <v>142794.43425081947</v>
      </c>
      <c r="E206" s="9">
        <f t="shared" si="31"/>
        <v>37000.250343897736</v>
      </c>
      <c r="F206" s="9" t="b">
        <v>0</v>
      </c>
      <c r="G206" s="24" t="str">
        <f t="shared" si="37"/>
        <v/>
      </c>
      <c r="H206" s="9"/>
      <c r="M206" s="9">
        <f t="shared" si="32"/>
        <v>210802.01686472524</v>
      </c>
      <c r="N206" s="9">
        <f t="shared" si="33"/>
        <v>142794.43425081947</v>
      </c>
      <c r="O206" s="9">
        <f t="shared" si="34"/>
        <v>37000.250343897736</v>
      </c>
      <c r="P206" s="6">
        <f t="shared" si="38"/>
        <v>27203033.045562305</v>
      </c>
    </row>
    <row r="207" spans="1:16" x14ac:dyDescent="0.2">
      <c r="A207" s="3">
        <f t="shared" si="30"/>
        <v>206</v>
      </c>
      <c r="B207" s="6">
        <f t="shared" si="39"/>
        <v>27060238.611311484</v>
      </c>
      <c r="C207" s="9">
        <f t="shared" si="35"/>
        <v>179764.24602150219</v>
      </c>
      <c r="D207" s="9">
        <f t="shared" si="36"/>
        <v>143151.42033644652</v>
      </c>
      <c r="E207" s="9">
        <f t="shared" si="31"/>
        <v>36612.82568505565</v>
      </c>
      <c r="F207" s="9" t="b">
        <v>0</v>
      </c>
      <c r="G207" s="24" t="str">
        <f t="shared" si="37"/>
        <v/>
      </c>
      <c r="H207" s="9"/>
      <c r="M207" s="9">
        <f t="shared" si="32"/>
        <v>210802.01686472524</v>
      </c>
      <c r="N207" s="9">
        <f t="shared" si="33"/>
        <v>143151.42033644652</v>
      </c>
      <c r="O207" s="9">
        <f t="shared" si="34"/>
        <v>36612.82568505565</v>
      </c>
      <c r="P207" s="6">
        <f t="shared" si="38"/>
        <v>27060238.611311484</v>
      </c>
    </row>
    <row r="208" spans="1:16" x14ac:dyDescent="0.2">
      <c r="A208" s="3">
        <f t="shared" si="30"/>
        <v>207</v>
      </c>
      <c r="B208" s="6">
        <f t="shared" si="39"/>
        <v>26917087.190975036</v>
      </c>
      <c r="C208" s="9">
        <f t="shared" si="35"/>
        <v>179735.77802961526</v>
      </c>
      <c r="D208" s="9">
        <f t="shared" si="36"/>
        <v>143509.29888728764</v>
      </c>
      <c r="E208" s="9">
        <f t="shared" si="31"/>
        <v>36226.479142327618</v>
      </c>
      <c r="F208" s="9" t="b">
        <v>0</v>
      </c>
      <c r="G208" s="24" t="str">
        <f t="shared" si="37"/>
        <v/>
      </c>
      <c r="H208" s="9"/>
      <c r="M208" s="9">
        <f t="shared" si="32"/>
        <v>210802.01686472524</v>
      </c>
      <c r="N208" s="9">
        <f t="shared" si="33"/>
        <v>143509.29888728764</v>
      </c>
      <c r="O208" s="9">
        <f t="shared" si="34"/>
        <v>36226.479142327618</v>
      </c>
      <c r="P208" s="6">
        <f t="shared" si="38"/>
        <v>26917087.190975036</v>
      </c>
    </row>
    <row r="209" spans="1:16" x14ac:dyDescent="0.2">
      <c r="A209" s="3">
        <f t="shared" si="30"/>
        <v>208</v>
      </c>
      <c r="B209" s="6">
        <f t="shared" si="39"/>
        <v>26773577.89208775</v>
      </c>
      <c r="C209" s="9">
        <f t="shared" si="35"/>
        <v>179709.29579169035</v>
      </c>
      <c r="D209" s="9">
        <f t="shared" si="36"/>
        <v>143868.07213450587</v>
      </c>
      <c r="E209" s="9">
        <f t="shared" si="31"/>
        <v>35841.223657184499</v>
      </c>
      <c r="F209" s="9" t="b">
        <v>0</v>
      </c>
      <c r="G209" s="24" t="str">
        <f t="shared" si="37"/>
        <v/>
      </c>
      <c r="H209" s="9"/>
      <c r="M209" s="9">
        <f t="shared" si="32"/>
        <v>210802.01686472524</v>
      </c>
      <c r="N209" s="9">
        <f t="shared" si="33"/>
        <v>143868.07213450587</v>
      </c>
      <c r="O209" s="9">
        <f t="shared" si="34"/>
        <v>35841.223657184499</v>
      </c>
      <c r="P209" s="6">
        <f t="shared" si="38"/>
        <v>26773577.89208775</v>
      </c>
    </row>
    <row r="210" spans="1:16" x14ac:dyDescent="0.2">
      <c r="A210" s="3">
        <f t="shared" si="30"/>
        <v>209</v>
      </c>
      <c r="B210" s="6">
        <f t="shared" si="39"/>
        <v>26629709.819953244</v>
      </c>
      <c r="C210" s="9">
        <f t="shared" si="35"/>
        <v>179684.81456958782</v>
      </c>
      <c r="D210" s="9">
        <f t="shared" si="36"/>
        <v>144227.74231484209</v>
      </c>
      <c r="E210" s="9">
        <f t="shared" si="31"/>
        <v>35457.072254745712</v>
      </c>
      <c r="F210" s="9" t="b">
        <v>0</v>
      </c>
      <c r="G210" s="24" t="str">
        <f t="shared" si="37"/>
        <v/>
      </c>
      <c r="H210" s="9"/>
      <c r="M210" s="9">
        <f t="shared" si="32"/>
        <v>210802.01686472524</v>
      </c>
      <c r="N210" s="9">
        <f t="shared" si="33"/>
        <v>144227.74231484209</v>
      </c>
      <c r="O210" s="9">
        <f t="shared" si="34"/>
        <v>35457.072254745712</v>
      </c>
      <c r="P210" s="6">
        <f t="shared" si="38"/>
        <v>26629709.819953244</v>
      </c>
    </row>
    <row r="211" spans="1:16" x14ac:dyDescent="0.2">
      <c r="A211" s="3">
        <f t="shared" si="30"/>
        <v>210</v>
      </c>
      <c r="B211" s="6">
        <f t="shared" si="39"/>
        <v>26485482.077638403</v>
      </c>
      <c r="C211" s="9">
        <f t="shared" si="35"/>
        <v>179662.34971487449</v>
      </c>
      <c r="D211" s="9">
        <f t="shared" si="36"/>
        <v>144588.31167062925</v>
      </c>
      <c r="E211" s="9">
        <f t="shared" si="31"/>
        <v>35074.038044245252</v>
      </c>
      <c r="F211" s="9" t="b">
        <v>0</v>
      </c>
      <c r="G211" s="24" t="str">
        <f t="shared" si="37"/>
        <v/>
      </c>
      <c r="H211" s="9"/>
      <c r="M211" s="9">
        <f t="shared" si="32"/>
        <v>210802.01686472524</v>
      </c>
      <c r="N211" s="9">
        <f t="shared" si="33"/>
        <v>144588.31167062925</v>
      </c>
      <c r="O211" s="9">
        <f t="shared" si="34"/>
        <v>35074.038044245252</v>
      </c>
      <c r="P211" s="6">
        <f t="shared" si="38"/>
        <v>26485482.077638403</v>
      </c>
    </row>
    <row r="212" spans="1:16" x14ac:dyDescent="0.2">
      <c r="A212" s="3">
        <f t="shared" si="30"/>
        <v>211</v>
      </c>
      <c r="B212" s="6">
        <f t="shared" si="39"/>
        <v>26340893.765967775</v>
      </c>
      <c r="C212" s="9">
        <f t="shared" si="35"/>
        <v>179641.91666930579</v>
      </c>
      <c r="D212" s="9">
        <f t="shared" si="36"/>
        <v>144949.78244980579</v>
      </c>
      <c r="E212" s="9">
        <f t="shared" si="31"/>
        <v>34692.134219499996</v>
      </c>
      <c r="F212" s="9" t="b">
        <v>0</v>
      </c>
      <c r="G212" s="24" t="str">
        <f t="shared" si="37"/>
        <v/>
      </c>
      <c r="H212" s="9"/>
      <c r="M212" s="9">
        <f t="shared" si="32"/>
        <v>210802.01686472524</v>
      </c>
      <c r="N212" s="9">
        <f t="shared" si="33"/>
        <v>144949.78244980579</v>
      </c>
      <c r="O212" s="9">
        <f t="shared" si="34"/>
        <v>34692.134219499996</v>
      </c>
      <c r="P212" s="6">
        <f t="shared" si="38"/>
        <v>26340893.765967775</v>
      </c>
    </row>
    <row r="213" spans="1:16" x14ac:dyDescent="0.2">
      <c r="A213" s="3">
        <f t="shared" si="30"/>
        <v>212</v>
      </c>
      <c r="B213" s="6">
        <f t="shared" si="39"/>
        <v>26195943.983517971</v>
      </c>
      <c r="C213" s="9">
        <f t="shared" si="35"/>
        <v>179623.53096531087</v>
      </c>
      <c r="D213" s="9">
        <f t="shared" si="36"/>
        <v>145312.15690593031</v>
      </c>
      <c r="E213" s="9">
        <f t="shared" si="31"/>
        <v>34311.374059380571</v>
      </c>
      <c r="F213" s="9" t="b">
        <v>0</v>
      </c>
      <c r="G213" s="24" t="str">
        <f t="shared" si="37"/>
        <v/>
      </c>
      <c r="H213" s="9"/>
      <c r="M213" s="9">
        <f t="shared" si="32"/>
        <v>210802.01686472524</v>
      </c>
      <c r="N213" s="9">
        <f t="shared" si="33"/>
        <v>145312.15690593031</v>
      </c>
      <c r="O213" s="9">
        <f t="shared" si="34"/>
        <v>34311.374059380571</v>
      </c>
      <c r="P213" s="6">
        <f t="shared" si="38"/>
        <v>26195943.983517971</v>
      </c>
    </row>
    <row r="214" spans="1:16" x14ac:dyDescent="0.2">
      <c r="A214" s="3">
        <f t="shared" si="30"/>
        <v>213</v>
      </c>
      <c r="B214" s="6">
        <f t="shared" si="39"/>
        <v>26050631.82661204</v>
      </c>
      <c r="C214" s="9">
        <f t="shared" si="35"/>
        <v>179607.20822647976</v>
      </c>
      <c r="D214" s="9">
        <f t="shared" si="36"/>
        <v>145675.43729819515</v>
      </c>
      <c r="E214" s="9">
        <f t="shared" si="31"/>
        <v>33931.770928284604</v>
      </c>
      <c r="F214" s="9" t="b">
        <v>0</v>
      </c>
      <c r="G214" s="24" t="str">
        <f t="shared" si="37"/>
        <v/>
      </c>
      <c r="H214" s="9"/>
      <c r="M214" s="9">
        <f t="shared" si="32"/>
        <v>210802.01686472524</v>
      </c>
      <c r="N214" s="9">
        <f t="shared" si="33"/>
        <v>145675.43729819515</v>
      </c>
      <c r="O214" s="9">
        <f t="shared" si="34"/>
        <v>33931.770928284604</v>
      </c>
      <c r="P214" s="6">
        <f t="shared" si="38"/>
        <v>26050631.82661204</v>
      </c>
    </row>
    <row r="215" spans="1:16" x14ac:dyDescent="0.2">
      <c r="A215" s="3">
        <f t="shared" si="30"/>
        <v>214</v>
      </c>
      <c r="B215" s="6">
        <f t="shared" si="39"/>
        <v>25904956.389313847</v>
      </c>
      <c r="C215" s="9">
        <f t="shared" si="35"/>
        <v>179592.96416805324</v>
      </c>
      <c r="D215" s="9">
        <f t="shared" si="36"/>
        <v>146039.62589144064</v>
      </c>
      <c r="E215" s="9">
        <f t="shared" si="31"/>
        <v>33553.338276612609</v>
      </c>
      <c r="F215" s="9" t="b">
        <v>0</v>
      </c>
      <c r="G215" s="24" t="str">
        <f t="shared" si="37"/>
        <v/>
      </c>
      <c r="H215" s="9"/>
      <c r="M215" s="9">
        <f t="shared" si="32"/>
        <v>210802.01686472524</v>
      </c>
      <c r="N215" s="9">
        <f t="shared" si="33"/>
        <v>146039.62589144064</v>
      </c>
      <c r="O215" s="9">
        <f t="shared" si="34"/>
        <v>33553.338276612609</v>
      </c>
      <c r="P215" s="6">
        <f t="shared" si="38"/>
        <v>25904956.389313847</v>
      </c>
    </row>
    <row r="216" spans="1:16" x14ac:dyDescent="0.2">
      <c r="A216" s="3">
        <f t="shared" si="30"/>
        <v>215</v>
      </c>
      <c r="B216" s="6">
        <f t="shared" si="39"/>
        <v>25758916.763422407</v>
      </c>
      <c r="C216" s="9">
        <f t="shared" si="35"/>
        <v>179580.81459741542</v>
      </c>
      <c r="D216" s="9">
        <f t="shared" si="36"/>
        <v>146404.72495616923</v>
      </c>
      <c r="E216" s="9">
        <f t="shared" si="31"/>
        <v>33176.089641246188</v>
      </c>
      <c r="F216" s="9" t="b">
        <v>0</v>
      </c>
      <c r="G216" s="24" t="str">
        <f t="shared" si="37"/>
        <v/>
      </c>
      <c r="H216" s="9"/>
      <c r="M216" s="9">
        <f t="shared" si="32"/>
        <v>210802.01686472524</v>
      </c>
      <c r="N216" s="9">
        <f t="shared" si="33"/>
        <v>146404.72495616923</v>
      </c>
      <c r="O216" s="9">
        <f t="shared" si="34"/>
        <v>33176.089641246188</v>
      </c>
      <c r="P216" s="6">
        <f t="shared" si="38"/>
        <v>25758916.763422407</v>
      </c>
    </row>
    <row r="217" spans="1:16" x14ac:dyDescent="0.2">
      <c r="A217" s="3">
        <f t="shared" si="30"/>
        <v>216</v>
      </c>
      <c r="B217" s="6">
        <f t="shared" si="39"/>
        <v>25612512.038466237</v>
      </c>
      <c r="C217" s="9">
        <f t="shared" si="35"/>
        <v>179570.77541458857</v>
      </c>
      <c r="D217" s="9">
        <f t="shared" si="36"/>
        <v>146770.73676855967</v>
      </c>
      <c r="E217" s="9">
        <f t="shared" si="31"/>
        <v>32800.038646028894</v>
      </c>
      <c r="F217" s="9" t="b">
        <v>0</v>
      </c>
      <c r="G217" s="24" t="str">
        <f t="shared" si="37"/>
        <v/>
      </c>
      <c r="H217" s="9"/>
      <c r="M217" s="9">
        <f t="shared" si="32"/>
        <v>210802.01686472524</v>
      </c>
      <c r="N217" s="9">
        <f t="shared" si="33"/>
        <v>146770.73676855967</v>
      </c>
      <c r="O217" s="9">
        <f t="shared" si="34"/>
        <v>32800.038646028894</v>
      </c>
      <c r="P217" s="6">
        <f t="shared" si="38"/>
        <v>25612512.038466237</v>
      </c>
    </row>
    <row r="218" spans="1:16" x14ac:dyDescent="0.2">
      <c r="A218" s="3">
        <f t="shared" si="30"/>
        <v>217</v>
      </c>
      <c r="B218" s="6">
        <f t="shared" si="39"/>
        <v>25465741.301697679</v>
      </c>
      <c r="C218" s="9">
        <f t="shared" si="35"/>
        <v>179562.86261273062</v>
      </c>
      <c r="D218" s="9">
        <f t="shared" si="36"/>
        <v>147137.66361048108</v>
      </c>
      <c r="E218" s="9">
        <f t="shared" si="31"/>
        <v>32425.199002249545</v>
      </c>
      <c r="F218" s="9" t="b">
        <v>0</v>
      </c>
      <c r="G218" s="24" t="str">
        <f t="shared" si="37"/>
        <v/>
      </c>
      <c r="H218" s="9"/>
      <c r="M218" s="9">
        <f t="shared" si="32"/>
        <v>210802.01686472524</v>
      </c>
      <c r="N218" s="9">
        <f t="shared" si="33"/>
        <v>147137.66361048108</v>
      </c>
      <c r="O218" s="9">
        <f t="shared" si="34"/>
        <v>32425.199002249545</v>
      </c>
      <c r="P218" s="6">
        <f t="shared" si="38"/>
        <v>25465741.301697679</v>
      </c>
    </row>
    <row r="219" spans="1:16" x14ac:dyDescent="0.2">
      <c r="A219" s="3">
        <f t="shared" si="30"/>
        <v>218</v>
      </c>
      <c r="B219" s="6">
        <f t="shared" si="39"/>
        <v>25318603.638087198</v>
      </c>
      <c r="C219" s="9">
        <f t="shared" si="35"/>
        <v>179557.09227863536</v>
      </c>
      <c r="D219" s="9">
        <f t="shared" si="36"/>
        <v>147505.50776950727</v>
      </c>
      <c r="E219" s="9">
        <f t="shared" si="31"/>
        <v>32051.584509128108</v>
      </c>
      <c r="F219" s="9" t="b">
        <v>0</v>
      </c>
      <c r="G219" s="24" t="str">
        <f t="shared" si="37"/>
        <v/>
      </c>
      <c r="H219" s="9"/>
      <c r="M219" s="9">
        <f t="shared" si="32"/>
        <v>210802.01686472524</v>
      </c>
      <c r="N219" s="9">
        <f t="shared" si="33"/>
        <v>147505.50776950727</v>
      </c>
      <c r="O219" s="9">
        <f t="shared" si="34"/>
        <v>32051.584509128108</v>
      </c>
      <c r="P219" s="6">
        <f t="shared" si="38"/>
        <v>25318603.638087198</v>
      </c>
    </row>
    <row r="220" spans="1:16" x14ac:dyDescent="0.2">
      <c r="A220" s="3">
        <f t="shared" si="30"/>
        <v>219</v>
      </c>
      <c r="B220" s="6">
        <f t="shared" si="39"/>
        <v>25171098.130317692</v>
      </c>
      <c r="C220" s="9">
        <f t="shared" si="35"/>
        <v>179553.48059323517</v>
      </c>
      <c r="D220" s="9">
        <f t="shared" si="36"/>
        <v>147874.27153893103</v>
      </c>
      <c r="E220" s="9">
        <f t="shared" si="31"/>
        <v>31679.20905430413</v>
      </c>
      <c r="F220" s="9" t="b">
        <v>0</v>
      </c>
      <c r="G220" s="24" t="str">
        <f t="shared" si="37"/>
        <v/>
      </c>
      <c r="H220" s="9"/>
      <c r="M220" s="9">
        <f t="shared" si="32"/>
        <v>210802.01686472524</v>
      </c>
      <c r="N220" s="9">
        <f t="shared" si="33"/>
        <v>147874.27153893103</v>
      </c>
      <c r="O220" s="9">
        <f t="shared" si="34"/>
        <v>31679.20905430413</v>
      </c>
      <c r="P220" s="6">
        <f t="shared" si="38"/>
        <v>25171098.130317692</v>
      </c>
    </row>
    <row r="221" spans="1:16" x14ac:dyDescent="0.2">
      <c r="A221" s="3">
        <f t="shared" si="30"/>
        <v>220</v>
      </c>
      <c r="B221" s="6">
        <f t="shared" si="39"/>
        <v>25023223.85877876</v>
      </c>
      <c r="C221" s="9">
        <f t="shared" si="35"/>
        <v>179552.04383210605</v>
      </c>
      <c r="D221" s="9">
        <f t="shared" si="36"/>
        <v>148243.95721777834</v>
      </c>
      <c r="E221" s="9">
        <f t="shared" si="31"/>
        <v>31308.086614327716</v>
      </c>
      <c r="F221" s="9" t="b">
        <v>0</v>
      </c>
      <c r="G221" s="24" t="str">
        <f t="shared" si="37"/>
        <v/>
      </c>
      <c r="H221" s="9"/>
      <c r="M221" s="9">
        <f t="shared" si="32"/>
        <v>210802.01686472524</v>
      </c>
      <c r="N221" s="9">
        <f t="shared" si="33"/>
        <v>148243.95721777834</v>
      </c>
      <c r="O221" s="9">
        <f t="shared" si="34"/>
        <v>31308.086614327716</v>
      </c>
      <c r="P221" s="6">
        <f t="shared" si="38"/>
        <v>25023223.85877876</v>
      </c>
    </row>
    <row r="222" spans="1:16" x14ac:dyDescent="0.2">
      <c r="A222" s="3">
        <f t="shared" si="30"/>
        <v>221</v>
      </c>
      <c r="B222" s="6">
        <f t="shared" si="39"/>
        <v>24874979.901560981</v>
      </c>
      <c r="C222" s="9">
        <f t="shared" si="35"/>
        <v>179552.79836597593</v>
      </c>
      <c r="D222" s="9">
        <f t="shared" si="36"/>
        <v>148614.5671108228</v>
      </c>
      <c r="E222" s="9">
        <f t="shared" si="31"/>
        <v>30938.231255153136</v>
      </c>
      <c r="F222" s="9" t="b">
        <v>0</v>
      </c>
      <c r="G222" s="24" t="str">
        <f t="shared" si="37"/>
        <v/>
      </c>
      <c r="H222" s="9"/>
      <c r="M222" s="9">
        <f t="shared" si="32"/>
        <v>210802.01686472524</v>
      </c>
      <c r="N222" s="9">
        <f t="shared" si="33"/>
        <v>148614.5671108228</v>
      </c>
      <c r="O222" s="9">
        <f t="shared" si="34"/>
        <v>30938.231255153136</v>
      </c>
      <c r="P222" s="6">
        <f t="shared" si="38"/>
        <v>24874979.901560981</v>
      </c>
    </row>
    <row r="223" spans="1:16" x14ac:dyDescent="0.2">
      <c r="A223" s="3">
        <f t="shared" si="30"/>
        <v>222</v>
      </c>
      <c r="B223" s="6">
        <f t="shared" si="39"/>
        <v>24726365.334450159</v>
      </c>
      <c r="C223" s="9">
        <f t="shared" si="35"/>
        <v>179555.76066123476</v>
      </c>
      <c r="D223" s="9">
        <f t="shared" si="36"/>
        <v>148986.10352859984</v>
      </c>
      <c r="E223" s="9">
        <f t="shared" si="31"/>
        <v>30569.657132634922</v>
      </c>
      <c r="F223" s="9" t="b">
        <v>0</v>
      </c>
      <c r="G223" s="24" t="str">
        <f t="shared" si="37"/>
        <v/>
      </c>
      <c r="H223" s="9"/>
      <c r="M223" s="9">
        <f t="shared" si="32"/>
        <v>210802.01686472524</v>
      </c>
      <c r="N223" s="9">
        <f t="shared" si="33"/>
        <v>148986.10352859984</v>
      </c>
      <c r="O223" s="9">
        <f t="shared" si="34"/>
        <v>30569.657132634922</v>
      </c>
      <c r="P223" s="6">
        <f t="shared" si="38"/>
        <v>24726365.334450159</v>
      </c>
    </row>
    <row r="224" spans="1:16" x14ac:dyDescent="0.2">
      <c r="A224" s="3">
        <f t="shared" si="30"/>
        <v>223</v>
      </c>
      <c r="B224" s="6">
        <f t="shared" si="39"/>
        <v>24577379.230921559</v>
      </c>
      <c r="C224" s="9">
        <f t="shared" si="35"/>
        <v>179560.94728044808</v>
      </c>
      <c r="D224" s="9">
        <f t="shared" si="36"/>
        <v>149358.56878742136</v>
      </c>
      <c r="E224" s="9">
        <f t="shared" si="31"/>
        <v>30202.378493026714</v>
      </c>
      <c r="F224" s="9" t="b">
        <v>0</v>
      </c>
      <c r="G224" s="24" t="str">
        <f t="shared" si="37"/>
        <v/>
      </c>
      <c r="H224" s="9"/>
      <c r="M224" s="9">
        <f t="shared" si="32"/>
        <v>210802.01686472524</v>
      </c>
      <c r="N224" s="9">
        <f t="shared" si="33"/>
        <v>149358.56878742136</v>
      </c>
      <c r="O224" s="9">
        <f t="shared" si="34"/>
        <v>30202.378493026714</v>
      </c>
      <c r="P224" s="6">
        <f t="shared" si="38"/>
        <v>24577379.230921559</v>
      </c>
    </row>
    <row r="225" spans="1:16" x14ac:dyDescent="0.2">
      <c r="A225" s="3">
        <f t="shared" si="30"/>
        <v>224</v>
      </c>
      <c r="B225" s="6">
        <f t="shared" si="39"/>
        <v>24428020.662134137</v>
      </c>
      <c r="C225" s="9">
        <f t="shared" si="35"/>
        <v>179568.37488287254</v>
      </c>
      <c r="D225" s="9">
        <f t="shared" si="36"/>
        <v>149731.96520938992</v>
      </c>
      <c r="E225" s="9">
        <f t="shared" si="31"/>
        <v>29836.409673482613</v>
      </c>
      <c r="F225" s="9" t="b">
        <v>0</v>
      </c>
      <c r="G225" s="24" t="str">
        <f t="shared" si="37"/>
        <v/>
      </c>
      <c r="H225" s="9"/>
      <c r="M225" s="9">
        <f t="shared" si="32"/>
        <v>210802.01686472524</v>
      </c>
      <c r="N225" s="9">
        <f t="shared" si="33"/>
        <v>149731.96520938992</v>
      </c>
      <c r="O225" s="9">
        <f t="shared" si="34"/>
        <v>29836.409673482613</v>
      </c>
      <c r="P225" s="6">
        <f t="shared" si="38"/>
        <v>24428020.662134137</v>
      </c>
    </row>
    <row r="226" spans="1:16" x14ac:dyDescent="0.2">
      <c r="A226" s="3">
        <f t="shared" si="30"/>
        <v>225</v>
      </c>
      <c r="B226" s="6">
        <f t="shared" si="39"/>
        <v>24278288.696924746</v>
      </c>
      <c r="C226" s="9">
        <f t="shared" si="35"/>
        <v>179578.06022497459</v>
      </c>
      <c r="D226" s="9">
        <f t="shared" si="36"/>
        <v>150106.2951224134</v>
      </c>
      <c r="E226" s="9">
        <f t="shared" si="31"/>
        <v>29471.765102561196</v>
      </c>
      <c r="F226" s="9" t="b">
        <v>0</v>
      </c>
      <c r="G226" s="24" t="str">
        <f t="shared" si="37"/>
        <v/>
      </c>
      <c r="H226" s="9"/>
      <c r="M226" s="9">
        <f t="shared" si="32"/>
        <v>210802.01686472524</v>
      </c>
      <c r="N226" s="9">
        <f t="shared" si="33"/>
        <v>150106.2951224134</v>
      </c>
      <c r="O226" s="9">
        <f t="shared" si="34"/>
        <v>29471.765102561196</v>
      </c>
      <c r="P226" s="6">
        <f t="shared" si="38"/>
        <v>24278288.696924746</v>
      </c>
    </row>
    <row r="227" spans="1:16" x14ac:dyDescent="0.2">
      <c r="A227" s="3">
        <f t="shared" si="30"/>
        <v>226</v>
      </c>
      <c r="B227" s="6">
        <f t="shared" si="39"/>
        <v>24128182.401802331</v>
      </c>
      <c r="C227" s="9">
        <f t="shared" si="35"/>
        <v>179590.02016095159</v>
      </c>
      <c r="D227" s="9">
        <f t="shared" si="36"/>
        <v>150481.56086021941</v>
      </c>
      <c r="E227" s="9">
        <f t="shared" si="31"/>
        <v>29108.459300732182</v>
      </c>
      <c r="F227" s="9" t="b">
        <v>0</v>
      </c>
      <c r="G227" s="24" t="str">
        <f t="shared" si="37"/>
        <v/>
      </c>
      <c r="H227" s="9"/>
      <c r="M227" s="9">
        <f t="shared" si="32"/>
        <v>210802.01686472524</v>
      </c>
      <c r="N227" s="9">
        <f t="shared" si="33"/>
        <v>150481.56086021941</v>
      </c>
      <c r="O227" s="9">
        <f t="shared" si="34"/>
        <v>29108.459300732182</v>
      </c>
      <c r="P227" s="6">
        <f t="shared" si="38"/>
        <v>24128182.401802331</v>
      </c>
    </row>
    <row r="228" spans="1:16" x14ac:dyDescent="0.2">
      <c r="A228" s="3">
        <f t="shared" si="30"/>
        <v>227</v>
      </c>
      <c r="B228" s="6">
        <f t="shared" si="39"/>
        <v>23977700.840942111</v>
      </c>
      <c r="C228" s="9">
        <f t="shared" si="35"/>
        <v>179604.27164325575</v>
      </c>
      <c r="D228" s="9">
        <f t="shared" si="36"/>
        <v>150857.76476236994</v>
      </c>
      <c r="E228" s="9">
        <f t="shared" si="31"/>
        <v>28746.506880885798</v>
      </c>
      <c r="F228" s="9" t="b">
        <v>0</v>
      </c>
      <c r="G228" s="24" t="str">
        <f t="shared" si="37"/>
        <v/>
      </c>
      <c r="H228" s="9"/>
      <c r="M228" s="9">
        <f t="shared" si="32"/>
        <v>210802.01686472524</v>
      </c>
      <c r="N228" s="9">
        <f t="shared" si="33"/>
        <v>150857.76476236994</v>
      </c>
      <c r="O228" s="9">
        <f t="shared" si="34"/>
        <v>28746.506880885798</v>
      </c>
      <c r="P228" s="6">
        <f t="shared" si="38"/>
        <v>23977700.840942111</v>
      </c>
    </row>
    <row r="229" spans="1:16" x14ac:dyDescent="0.2">
      <c r="A229" s="3">
        <f t="shared" si="30"/>
        <v>228</v>
      </c>
      <c r="B229" s="6">
        <f t="shared" si="39"/>
        <v>23826843.076179739</v>
      </c>
      <c r="C229" s="9">
        <f t="shared" si="35"/>
        <v>179620.83172312059</v>
      </c>
      <c r="D229" s="9">
        <f t="shared" si="36"/>
        <v>151234.90917427588</v>
      </c>
      <c r="E229" s="9">
        <f t="shared" si="31"/>
        <v>28385.922548844723</v>
      </c>
      <c r="F229" s="9" t="b">
        <v>0</v>
      </c>
      <c r="G229" s="24" t="str">
        <f t="shared" si="37"/>
        <v/>
      </c>
      <c r="H229" s="9"/>
      <c r="M229" s="9">
        <f t="shared" si="32"/>
        <v>210802.01686472524</v>
      </c>
      <c r="N229" s="9">
        <f t="shared" si="33"/>
        <v>151234.90917427588</v>
      </c>
      <c r="O229" s="9">
        <f t="shared" si="34"/>
        <v>28385.922548844723</v>
      </c>
      <c r="P229" s="6">
        <f t="shared" si="38"/>
        <v>23826843.076179739</v>
      </c>
    </row>
    <row r="230" spans="1:16" x14ac:dyDescent="0.2">
      <c r="A230" s="3">
        <f t="shared" si="30"/>
        <v>229</v>
      </c>
      <c r="B230" s="6">
        <f t="shared" si="39"/>
        <v>23675608.167005464</v>
      </c>
      <c r="C230" s="9">
        <f t="shared" si="35"/>
        <v>179639.71755109035</v>
      </c>
      <c r="D230" s="9">
        <f t="shared" si="36"/>
        <v>151612.99644721157</v>
      </c>
      <c r="E230" s="9">
        <f t="shared" si="31"/>
        <v>28026.72110387879</v>
      </c>
      <c r="F230" s="9" t="b">
        <v>0</v>
      </c>
      <c r="G230" s="24" t="str">
        <f t="shared" si="37"/>
        <v/>
      </c>
      <c r="H230" s="9"/>
      <c r="M230" s="9">
        <f t="shared" si="32"/>
        <v>210802.01686472524</v>
      </c>
      <c r="N230" s="9">
        <f t="shared" si="33"/>
        <v>151612.99644721157</v>
      </c>
      <c r="O230" s="9">
        <f t="shared" si="34"/>
        <v>28026.72110387879</v>
      </c>
      <c r="P230" s="6">
        <f t="shared" si="38"/>
        <v>23675608.167005464</v>
      </c>
    </row>
    <row r="231" spans="1:16" x14ac:dyDescent="0.2">
      <c r="A231" s="3">
        <f t="shared" si="30"/>
        <v>230</v>
      </c>
      <c r="B231" s="6">
        <f t="shared" si="39"/>
        <v>23523995.170558251</v>
      </c>
      <c r="C231" s="9">
        <f t="shared" si="35"/>
        <v>179660.946377552</v>
      </c>
      <c r="D231" s="9">
        <f t="shared" si="36"/>
        <v>151992.0289383296</v>
      </c>
      <c r="E231" s="9">
        <f t="shared" si="31"/>
        <v>27668.917439222398</v>
      </c>
      <c r="F231" s="9" t="b">
        <v>0</v>
      </c>
      <c r="G231" s="24" t="str">
        <f t="shared" si="37"/>
        <v/>
      </c>
      <c r="H231" s="9"/>
      <c r="M231" s="9">
        <f t="shared" si="32"/>
        <v>210802.01686472524</v>
      </c>
      <c r="N231" s="9">
        <f t="shared" si="33"/>
        <v>151992.0289383296</v>
      </c>
      <c r="O231" s="9">
        <f t="shared" si="34"/>
        <v>27668.917439222398</v>
      </c>
      <c r="P231" s="6">
        <f t="shared" si="38"/>
        <v>23523995.170558251</v>
      </c>
    </row>
    <row r="232" spans="1:16" x14ac:dyDescent="0.2">
      <c r="A232" s="3">
        <f t="shared" si="30"/>
        <v>231</v>
      </c>
      <c r="B232" s="6">
        <f t="shared" si="39"/>
        <v>23372003.141619921</v>
      </c>
      <c r="C232" s="9">
        <f t="shared" si="35"/>
        <v>179684.53555326999</v>
      </c>
      <c r="D232" s="9">
        <f t="shared" si="36"/>
        <v>152372.00901067542</v>
      </c>
      <c r="E232" s="9">
        <f t="shared" si="31"/>
        <v>27312.526542594573</v>
      </c>
      <c r="F232" s="9" t="b">
        <v>0</v>
      </c>
      <c r="G232" s="24" t="str">
        <f t="shared" si="37"/>
        <v/>
      </c>
      <c r="H232" s="9"/>
      <c r="M232" s="9">
        <f t="shared" si="32"/>
        <v>210802.01686472524</v>
      </c>
      <c r="N232" s="9">
        <f t="shared" si="33"/>
        <v>152372.00901067542</v>
      </c>
      <c r="O232" s="9">
        <f t="shared" si="34"/>
        <v>27312.526542594573</v>
      </c>
      <c r="P232" s="6">
        <f t="shared" si="38"/>
        <v>23372003.141619921</v>
      </c>
    </row>
    <row r="233" spans="1:16" x14ac:dyDescent="0.2">
      <c r="A233" s="3">
        <f t="shared" si="30"/>
        <v>232</v>
      </c>
      <c r="B233" s="6">
        <f t="shared" si="39"/>
        <v>23219631.132609244</v>
      </c>
      <c r="C233" s="9">
        <f t="shared" si="35"/>
        <v>179710.50252992395</v>
      </c>
      <c r="D233" s="9">
        <f t="shared" si="36"/>
        <v>152752.93903320213</v>
      </c>
      <c r="E233" s="9">
        <f t="shared" si="31"/>
        <v>26957.563496721828</v>
      </c>
      <c r="F233" s="9" t="b">
        <v>0</v>
      </c>
      <c r="G233" s="24" t="str">
        <f t="shared" si="37"/>
        <v/>
      </c>
      <c r="H233" s="9"/>
      <c r="M233" s="9">
        <f t="shared" si="32"/>
        <v>210802.01686472524</v>
      </c>
      <c r="N233" s="9">
        <f t="shared" si="33"/>
        <v>152752.93903320213</v>
      </c>
      <c r="O233" s="9">
        <f t="shared" si="34"/>
        <v>26957.563496721828</v>
      </c>
      <c r="P233" s="6">
        <f t="shared" si="38"/>
        <v>23219631.132609244</v>
      </c>
    </row>
    <row r="234" spans="1:16" x14ac:dyDescent="0.2">
      <c r="A234" s="3">
        <f t="shared" si="30"/>
        <v>233</v>
      </c>
      <c r="B234" s="6">
        <f t="shared" si="39"/>
        <v>23066878.193576042</v>
      </c>
      <c r="C234" s="9">
        <f t="shared" si="35"/>
        <v>179738.86486064884</v>
      </c>
      <c r="D234" s="9">
        <f t="shared" si="36"/>
        <v>153134.82138078514</v>
      </c>
      <c r="E234" s="9">
        <f t="shared" si="31"/>
        <v>26604.0434798637</v>
      </c>
      <c r="F234" s="9" t="b">
        <v>0</v>
      </c>
      <c r="G234" s="24" t="str">
        <f t="shared" si="37"/>
        <v/>
      </c>
      <c r="H234" s="9"/>
      <c r="M234" s="9">
        <f t="shared" si="32"/>
        <v>210802.01686472524</v>
      </c>
      <c r="N234" s="9">
        <f t="shared" si="33"/>
        <v>153134.82138078514</v>
      </c>
      <c r="O234" s="9">
        <f t="shared" si="34"/>
        <v>26604.0434798637</v>
      </c>
      <c r="P234" s="6">
        <f t="shared" si="38"/>
        <v>23066878.193576042</v>
      </c>
    </row>
    <row r="235" spans="1:16" x14ac:dyDescent="0.2">
      <c r="A235" s="3">
        <f t="shared" si="30"/>
        <v>234</v>
      </c>
      <c r="B235" s="6">
        <f t="shared" si="39"/>
        <v>22913743.372195255</v>
      </c>
      <c r="C235" s="9">
        <f t="shared" si="35"/>
        <v>179769.6402005782</v>
      </c>
      <c r="D235" s="9">
        <f t="shared" si="36"/>
        <v>153517.65843423709</v>
      </c>
      <c r="E235" s="9">
        <f t="shared" si="31"/>
        <v>26251.981766341109</v>
      </c>
      <c r="F235" s="9" t="b">
        <v>0</v>
      </c>
      <c r="G235" s="24" t="str">
        <f t="shared" si="37"/>
        <v/>
      </c>
      <c r="H235" s="9"/>
      <c r="M235" s="9">
        <f t="shared" si="32"/>
        <v>210802.01686472524</v>
      </c>
      <c r="N235" s="9">
        <f t="shared" si="33"/>
        <v>153517.65843423709</v>
      </c>
      <c r="O235" s="9">
        <f t="shared" si="34"/>
        <v>26251.981766341109</v>
      </c>
      <c r="P235" s="6">
        <f t="shared" si="38"/>
        <v>22913743.372195255</v>
      </c>
    </row>
    <row r="236" spans="1:16" x14ac:dyDescent="0.2">
      <c r="A236" s="3">
        <f t="shared" si="30"/>
        <v>235</v>
      </c>
      <c r="B236" s="6">
        <f t="shared" si="39"/>
        <v>22760225.713761017</v>
      </c>
      <c r="C236" s="9">
        <f t="shared" si="35"/>
        <v>179802.84630739014</v>
      </c>
      <c r="D236" s="9">
        <f t="shared" si="36"/>
        <v>153901.45258032272</v>
      </c>
      <c r="E236" s="9">
        <f t="shared" si="31"/>
        <v>25901.393727067418</v>
      </c>
      <c r="F236" s="9" t="b">
        <v>0</v>
      </c>
      <c r="G236" s="24" t="str">
        <f t="shared" si="37"/>
        <v/>
      </c>
      <c r="H236" s="9"/>
      <c r="M236" s="9">
        <f t="shared" si="32"/>
        <v>210802.01686472524</v>
      </c>
      <c r="N236" s="9">
        <f t="shared" si="33"/>
        <v>153901.45258032272</v>
      </c>
      <c r="O236" s="9">
        <f t="shared" si="34"/>
        <v>25901.393727067418</v>
      </c>
      <c r="P236" s="6">
        <f t="shared" si="38"/>
        <v>22760225.713761017</v>
      </c>
    </row>
    <row r="237" spans="1:16" x14ac:dyDescent="0.2">
      <c r="A237" s="3">
        <f t="shared" si="30"/>
        <v>236</v>
      </c>
      <c r="B237" s="6">
        <f t="shared" si="39"/>
        <v>22606324.261180695</v>
      </c>
      <c r="C237" s="9">
        <f t="shared" si="35"/>
        <v>179838.50104185587</v>
      </c>
      <c r="D237" s="9">
        <f t="shared" si="36"/>
        <v>154286.2062117735</v>
      </c>
      <c r="E237" s="9">
        <f t="shared" si="31"/>
        <v>25552.294830082352</v>
      </c>
      <c r="F237" s="9" t="b">
        <v>0</v>
      </c>
      <c r="G237" s="24" t="str">
        <f t="shared" si="37"/>
        <v/>
      </c>
      <c r="H237" s="9"/>
      <c r="M237" s="9">
        <f t="shared" si="32"/>
        <v>210802.01686472524</v>
      </c>
      <c r="N237" s="9">
        <f t="shared" si="33"/>
        <v>154286.2062117735</v>
      </c>
      <c r="O237" s="9">
        <f t="shared" si="34"/>
        <v>25552.294830082352</v>
      </c>
      <c r="P237" s="6">
        <f t="shared" si="38"/>
        <v>22606324.261180695</v>
      </c>
    </row>
    <row r="238" spans="1:16" x14ac:dyDescent="0.2">
      <c r="A238" s="3">
        <f t="shared" si="30"/>
        <v>237</v>
      </c>
      <c r="B238" s="6">
        <f t="shared" si="39"/>
        <v>22452038.054968923</v>
      </c>
      <c r="C238" s="9">
        <f t="shared" si="35"/>
        <v>179876.62236839155</v>
      </c>
      <c r="D238" s="9">
        <f t="shared" si="36"/>
        <v>154671.92172730292</v>
      </c>
      <c r="E238" s="9">
        <f t="shared" si="31"/>
        <v>25204.700641088639</v>
      </c>
      <c r="F238" s="9" t="b">
        <v>0</v>
      </c>
      <c r="G238" s="24" t="str">
        <f t="shared" si="37"/>
        <v/>
      </c>
      <c r="H238" s="9"/>
      <c r="M238" s="9">
        <f t="shared" si="32"/>
        <v>210802.01686472524</v>
      </c>
      <c r="N238" s="9">
        <f t="shared" si="33"/>
        <v>154671.92172730292</v>
      </c>
      <c r="O238" s="9">
        <f t="shared" si="34"/>
        <v>25204.700641088639</v>
      </c>
      <c r="P238" s="6">
        <f t="shared" si="38"/>
        <v>22452038.054968923</v>
      </c>
    </row>
    <row r="239" spans="1:16" x14ac:dyDescent="0.2">
      <c r="A239" s="3">
        <f t="shared" si="30"/>
        <v>238</v>
      </c>
      <c r="B239" s="6">
        <f t="shared" si="39"/>
        <v>22297366.13324162</v>
      </c>
      <c r="C239" s="9">
        <f t="shared" si="35"/>
        <v>179917.22835561269</v>
      </c>
      <c r="D239" s="9">
        <f t="shared" si="36"/>
        <v>155058.60153162119</v>
      </c>
      <c r="E239" s="9">
        <f t="shared" si="31"/>
        <v>24858.626823991519</v>
      </c>
      <c r="F239" s="9" t="b">
        <v>0</v>
      </c>
      <c r="G239" s="24" t="str">
        <f t="shared" si="37"/>
        <v/>
      </c>
      <c r="H239" s="9"/>
      <c r="M239" s="9">
        <f t="shared" si="32"/>
        <v>210802.01686472524</v>
      </c>
      <c r="N239" s="9">
        <f t="shared" si="33"/>
        <v>155058.60153162119</v>
      </c>
      <c r="O239" s="9">
        <f t="shared" si="34"/>
        <v>24858.626823991519</v>
      </c>
      <c r="P239" s="6">
        <f t="shared" si="38"/>
        <v>22297366.13324162</v>
      </c>
    </row>
    <row r="240" spans="1:16" x14ac:dyDescent="0.2">
      <c r="A240" s="3">
        <f t="shared" si="30"/>
        <v>239</v>
      </c>
      <c r="B240" s="6">
        <f t="shared" si="39"/>
        <v>22142307.531709999</v>
      </c>
      <c r="C240" s="9">
        <f t="shared" si="35"/>
        <v>179960.33717689131</v>
      </c>
      <c r="D240" s="9">
        <f t="shared" si="36"/>
        <v>155446.24803545023</v>
      </c>
      <c r="E240" s="9">
        <f t="shared" si="31"/>
        <v>24514.089141441069</v>
      </c>
      <c r="F240" s="9" t="b">
        <v>0</v>
      </c>
      <c r="G240" s="24" t="str">
        <f t="shared" si="37"/>
        <v/>
      </c>
      <c r="H240" s="9"/>
      <c r="M240" s="9">
        <f t="shared" si="32"/>
        <v>210802.01686472524</v>
      </c>
      <c r="N240" s="9">
        <f t="shared" si="33"/>
        <v>155446.24803545023</v>
      </c>
      <c r="O240" s="9">
        <f t="shared" si="34"/>
        <v>24514.089141441069</v>
      </c>
      <c r="P240" s="6">
        <f t="shared" si="38"/>
        <v>22142307.531709999</v>
      </c>
    </row>
    <row r="241" spans="1:16" x14ac:dyDescent="0.2">
      <c r="A241" s="3">
        <f t="shared" si="30"/>
        <v>240</v>
      </c>
      <c r="B241" s="6">
        <f t="shared" si="39"/>
        <v>21986861.283674549</v>
      </c>
      <c r="C241" s="9">
        <f t="shared" si="35"/>
        <v>180005.96711091619</v>
      </c>
      <c r="D241" s="9">
        <f t="shared" si="36"/>
        <v>155834.86365553885</v>
      </c>
      <c r="E241" s="9">
        <f t="shared" si="31"/>
        <v>24171.103455377346</v>
      </c>
      <c r="F241" s="9" t="b">
        <v>0</v>
      </c>
      <c r="G241" s="24" t="str">
        <f t="shared" si="37"/>
        <v/>
      </c>
      <c r="H241" s="9"/>
      <c r="M241" s="9">
        <f t="shared" si="32"/>
        <v>210802.01686472524</v>
      </c>
      <c r="N241" s="9">
        <f t="shared" si="33"/>
        <v>155834.86365553885</v>
      </c>
      <c r="O241" s="9">
        <f t="shared" si="34"/>
        <v>24171.103455377346</v>
      </c>
      <c r="P241" s="6">
        <f t="shared" si="38"/>
        <v>21986861.283674549</v>
      </c>
    </row>
    <row r="242" spans="1:16" x14ac:dyDescent="0.2">
      <c r="A242" s="3">
        <f t="shared" si="30"/>
        <v>241</v>
      </c>
      <c r="B242" s="6">
        <f t="shared" si="39"/>
        <v>21831026.420019012</v>
      </c>
      <c r="C242" s="9">
        <f t="shared" si="35"/>
        <v>180054.13654225611</v>
      </c>
      <c r="D242" s="9">
        <f t="shared" si="36"/>
        <v>156224.45081467769</v>
      </c>
      <c r="E242" s="9">
        <f t="shared" si="31"/>
        <v>23829.685727578402</v>
      </c>
      <c r="F242" s="9" t="b">
        <v>0</v>
      </c>
      <c r="G242" s="24" t="str">
        <f t="shared" si="37"/>
        <v/>
      </c>
      <c r="H242" s="9"/>
      <c r="M242" s="9">
        <f t="shared" si="32"/>
        <v>210802.01686472524</v>
      </c>
      <c r="N242" s="9">
        <f t="shared" si="33"/>
        <v>156224.45081467769</v>
      </c>
      <c r="O242" s="9">
        <f t="shared" si="34"/>
        <v>23829.685727578402</v>
      </c>
      <c r="P242" s="6">
        <f t="shared" si="38"/>
        <v>21831026.420019012</v>
      </c>
    </row>
    <row r="243" spans="1:16" x14ac:dyDescent="0.2">
      <c r="A243" s="3">
        <f t="shared" si="30"/>
        <v>242</v>
      </c>
      <c r="B243" s="6">
        <f t="shared" si="39"/>
        <v>21674801.969204333</v>
      </c>
      <c r="C243" s="9">
        <f t="shared" si="35"/>
        <v>180104.86396192561</v>
      </c>
      <c r="D243" s="9">
        <f t="shared" si="36"/>
        <v>156615.01194171442</v>
      </c>
      <c r="E243" s="9">
        <f t="shared" si="31"/>
        <v>23489.852020211205</v>
      </c>
      <c r="F243" s="9" t="b">
        <v>0</v>
      </c>
      <c r="G243" s="24" t="str">
        <f t="shared" si="37"/>
        <v/>
      </c>
      <c r="H243" s="9"/>
      <c r="M243" s="9">
        <f t="shared" si="32"/>
        <v>210802.01686472524</v>
      </c>
      <c r="N243" s="9">
        <f t="shared" si="33"/>
        <v>156615.01194171442</v>
      </c>
      <c r="O243" s="9">
        <f t="shared" si="34"/>
        <v>23489.852020211205</v>
      </c>
      <c r="P243" s="6">
        <f t="shared" si="38"/>
        <v>21674801.969204333</v>
      </c>
    </row>
    <row r="244" spans="1:16" x14ac:dyDescent="0.2">
      <c r="A244" s="3">
        <f t="shared" si="30"/>
        <v>243</v>
      </c>
      <c r="B244" s="6">
        <f t="shared" si="39"/>
        <v>21518186.957262617</v>
      </c>
      <c r="C244" s="9">
        <f t="shared" si="35"/>
        <v>180158.16796795407</v>
      </c>
      <c r="D244" s="9">
        <f t="shared" si="36"/>
        <v>157006.54947156869</v>
      </c>
      <c r="E244" s="9">
        <f t="shared" si="31"/>
        <v>23151.618496385363</v>
      </c>
      <c r="F244" s="9" t="b">
        <v>0</v>
      </c>
      <c r="G244" s="24" t="str">
        <f t="shared" si="37"/>
        <v/>
      </c>
      <c r="H244" s="9"/>
      <c r="M244" s="9">
        <f t="shared" si="32"/>
        <v>210802.01686472524</v>
      </c>
      <c r="N244" s="9">
        <f t="shared" si="33"/>
        <v>157006.54947156869</v>
      </c>
      <c r="O244" s="9">
        <f t="shared" si="34"/>
        <v>23151.618496385363</v>
      </c>
      <c r="P244" s="6">
        <f t="shared" si="38"/>
        <v>21518186.957262617</v>
      </c>
    </row>
    <row r="245" spans="1:16" x14ac:dyDescent="0.2">
      <c r="A245" s="3">
        <f t="shared" si="30"/>
        <v>244</v>
      </c>
      <c r="B245" s="6">
        <f t="shared" si="39"/>
        <v>21361180.407791048</v>
      </c>
      <c r="C245" s="9">
        <f t="shared" si="35"/>
        <v>180214.06726595742</v>
      </c>
      <c r="D245" s="9">
        <f t="shared" si="36"/>
        <v>157399.06584524762</v>
      </c>
      <c r="E245" s="9">
        <f t="shared" si="31"/>
        <v>22815.001420709814</v>
      </c>
      <c r="F245" s="9" t="b">
        <v>0</v>
      </c>
      <c r="G245" s="24" t="str">
        <f t="shared" si="37"/>
        <v/>
      </c>
      <c r="H245" s="9"/>
      <c r="M245" s="9">
        <f t="shared" si="32"/>
        <v>210802.01686472524</v>
      </c>
      <c r="N245" s="9">
        <f t="shared" si="33"/>
        <v>157399.06584524762</v>
      </c>
      <c r="O245" s="9">
        <f t="shared" si="34"/>
        <v>22815.001420709814</v>
      </c>
      <c r="P245" s="6">
        <f t="shared" si="38"/>
        <v>21361180.407791048</v>
      </c>
    </row>
    <row r="246" spans="1:16" x14ac:dyDescent="0.2">
      <c r="A246" s="3">
        <f t="shared" si="30"/>
        <v>245</v>
      </c>
      <c r="B246" s="6">
        <f t="shared" si="39"/>
        <v>21203781.341945801</v>
      </c>
      <c r="C246" s="9">
        <f t="shared" si="35"/>
        <v>180272.58066971321</v>
      </c>
      <c r="D246" s="9">
        <f t="shared" si="36"/>
        <v>157792.56350986075</v>
      </c>
      <c r="E246" s="9">
        <f t="shared" si="31"/>
        <v>22480.01715985245</v>
      </c>
      <c r="F246" s="9" t="b">
        <v>0</v>
      </c>
      <c r="G246" s="24" t="str">
        <f t="shared" si="37"/>
        <v/>
      </c>
      <c r="H246" s="9"/>
      <c r="M246" s="9">
        <f t="shared" si="32"/>
        <v>210802.01686472524</v>
      </c>
      <c r="N246" s="9">
        <f t="shared" si="33"/>
        <v>157792.56350986075</v>
      </c>
      <c r="O246" s="9">
        <f t="shared" si="34"/>
        <v>22480.01715985245</v>
      </c>
      <c r="P246" s="6">
        <f t="shared" si="38"/>
        <v>21203781.341945801</v>
      </c>
    </row>
    <row r="247" spans="1:16" x14ac:dyDescent="0.2">
      <c r="A247" s="3">
        <f t="shared" si="30"/>
        <v>246</v>
      </c>
      <c r="B247" s="6">
        <f t="shared" si="39"/>
        <v>21045988.778435942</v>
      </c>
      <c r="C247" s="9">
        <f t="shared" si="35"/>
        <v>180333.72710173795</v>
      </c>
      <c r="D247" s="9">
        <f t="shared" si="36"/>
        <v>158187.04491863537</v>
      </c>
      <c r="E247" s="9">
        <f t="shared" si="31"/>
        <v>22146.682183102585</v>
      </c>
      <c r="F247" s="9" t="b">
        <v>0</v>
      </c>
      <c r="G247" s="24" t="str">
        <f t="shared" si="37"/>
        <v/>
      </c>
      <c r="H247" s="9"/>
      <c r="M247" s="9">
        <f t="shared" si="32"/>
        <v>210802.01686472524</v>
      </c>
      <c r="N247" s="9">
        <f t="shared" si="33"/>
        <v>158187.04491863537</v>
      </c>
      <c r="O247" s="9">
        <f t="shared" si="34"/>
        <v>22146.682183102585</v>
      </c>
      <c r="P247" s="6">
        <f t="shared" si="38"/>
        <v>21045988.778435942</v>
      </c>
    </row>
    <row r="248" spans="1:16" x14ac:dyDescent="0.2">
      <c r="A248" s="3">
        <f t="shared" si="30"/>
        <v>247</v>
      </c>
      <c r="B248" s="6">
        <f t="shared" si="39"/>
        <v>20887801.733517308</v>
      </c>
      <c r="C248" s="9">
        <f t="shared" si="35"/>
        <v>180397.52559386837</v>
      </c>
      <c r="D248" s="9">
        <f t="shared" si="36"/>
        <v>158582.51253093194</v>
      </c>
      <c r="E248" s="9">
        <f t="shared" si="31"/>
        <v>21815.013062936436</v>
      </c>
      <c r="F248" s="9" t="b">
        <v>0</v>
      </c>
      <c r="G248" s="24" t="str">
        <f t="shared" si="37"/>
        <v/>
      </c>
      <c r="H248" s="9"/>
      <c r="M248" s="9">
        <f t="shared" si="32"/>
        <v>210802.01686472524</v>
      </c>
      <c r="N248" s="9">
        <f t="shared" si="33"/>
        <v>158582.51253093194</v>
      </c>
      <c r="O248" s="9">
        <f t="shared" si="34"/>
        <v>21815.013062936436</v>
      </c>
      <c r="P248" s="6">
        <f t="shared" si="38"/>
        <v>20887801.733517308</v>
      </c>
    </row>
    <row r="249" spans="1:16" x14ac:dyDescent="0.2">
      <c r="A249" s="3">
        <f t="shared" si="30"/>
        <v>248</v>
      </c>
      <c r="B249" s="6">
        <f t="shared" si="39"/>
        <v>20729219.220986377</v>
      </c>
      <c r="C249" s="9">
        <f t="shared" si="35"/>
        <v>180463.99528784485</v>
      </c>
      <c r="D249" s="9">
        <f t="shared" si="36"/>
        <v>158978.96881225929</v>
      </c>
      <c r="E249" s="9">
        <f t="shared" si="31"/>
        <v>21485.026475585557</v>
      </c>
      <c r="F249" s="9" t="b">
        <v>0</v>
      </c>
      <c r="G249" s="24" t="str">
        <f t="shared" si="37"/>
        <v/>
      </c>
      <c r="H249" s="9"/>
      <c r="M249" s="9">
        <f t="shared" si="32"/>
        <v>210802.01686472524</v>
      </c>
      <c r="N249" s="9">
        <f t="shared" si="33"/>
        <v>158978.96881225929</v>
      </c>
      <c r="O249" s="9">
        <f t="shared" si="34"/>
        <v>21485.026475585557</v>
      </c>
      <c r="P249" s="6">
        <f t="shared" si="38"/>
        <v>20729219.220986377</v>
      </c>
    </row>
    <row r="250" spans="1:16" x14ac:dyDescent="0.2">
      <c r="A250" s="3">
        <f t="shared" si="30"/>
        <v>249</v>
      </c>
      <c r="B250" s="6">
        <f t="shared" si="39"/>
        <v>20570240.252174117</v>
      </c>
      <c r="C250" s="9">
        <f t="shared" si="35"/>
        <v>180533.15543589817</v>
      </c>
      <c r="D250" s="9">
        <f t="shared" si="36"/>
        <v>159376.41623428997</v>
      </c>
      <c r="E250" s="9">
        <f t="shared" si="31"/>
        <v>21156.739201608216</v>
      </c>
      <c r="F250" s="9" t="b">
        <v>0</v>
      </c>
      <c r="G250" s="24" t="str">
        <f t="shared" si="37"/>
        <v/>
      </c>
      <c r="H250" s="9"/>
      <c r="M250" s="9">
        <f t="shared" si="32"/>
        <v>210802.01686472524</v>
      </c>
      <c r="N250" s="9">
        <f t="shared" si="33"/>
        <v>159376.41623428997</v>
      </c>
      <c r="O250" s="9">
        <f t="shared" si="34"/>
        <v>21156.739201608216</v>
      </c>
      <c r="P250" s="6">
        <f t="shared" si="38"/>
        <v>20570240.252174117</v>
      </c>
    </row>
    <row r="251" spans="1:16" x14ac:dyDescent="0.2">
      <c r="A251" s="3">
        <f t="shared" si="30"/>
        <v>250</v>
      </c>
      <c r="B251" s="6">
        <f t="shared" si="39"/>
        <v>20410863.835939828</v>
      </c>
      <c r="C251" s="9">
        <f t="shared" si="35"/>
        <v>180605.02540133952</v>
      </c>
      <c r="D251" s="9">
        <f t="shared" si="36"/>
        <v>159774.85727487569</v>
      </c>
      <c r="E251" s="9">
        <f t="shared" si="31"/>
        <v>20830.168126463821</v>
      </c>
      <c r="F251" s="9" t="b">
        <v>0</v>
      </c>
      <c r="G251" s="24" t="str">
        <f t="shared" si="37"/>
        <v/>
      </c>
      <c r="H251" s="9"/>
      <c r="M251" s="9">
        <f t="shared" si="32"/>
        <v>210802.01686472524</v>
      </c>
      <c r="N251" s="9">
        <f t="shared" si="33"/>
        <v>159774.85727487569</v>
      </c>
      <c r="O251" s="9">
        <f t="shared" si="34"/>
        <v>20830.168126463821</v>
      </c>
      <c r="P251" s="6">
        <f t="shared" si="38"/>
        <v>20410863.835939828</v>
      </c>
    </row>
    <row r="252" spans="1:16" x14ac:dyDescent="0.2">
      <c r="A252" s="3">
        <f t="shared" si="30"/>
        <v>251</v>
      </c>
      <c r="B252" s="6">
        <f t="shared" si="39"/>
        <v>20251088.978664953</v>
      </c>
      <c r="C252" s="9">
        <f t="shared" si="35"/>
        <v>180679.62465915314</v>
      </c>
      <c r="D252" s="9">
        <f t="shared" si="36"/>
        <v>160174.29441806287</v>
      </c>
      <c r="E252" s="9">
        <f t="shared" si="31"/>
        <v>20505.330241090258</v>
      </c>
      <c r="F252" s="9" t="b">
        <v>0</v>
      </c>
      <c r="G252" s="24" t="str">
        <f t="shared" si="37"/>
        <v/>
      </c>
      <c r="H252" s="9"/>
      <c r="M252" s="9">
        <f t="shared" si="32"/>
        <v>210802.01686472524</v>
      </c>
      <c r="N252" s="9">
        <f t="shared" si="33"/>
        <v>160174.29441806287</v>
      </c>
      <c r="O252" s="9">
        <f t="shared" si="34"/>
        <v>20505.330241090258</v>
      </c>
      <c r="P252" s="6">
        <f t="shared" si="38"/>
        <v>20251088.978664953</v>
      </c>
    </row>
    <row r="253" spans="1:16" x14ac:dyDescent="0.2">
      <c r="A253" s="3">
        <f t="shared" si="30"/>
        <v>252</v>
      </c>
      <c r="B253" s="6">
        <f t="shared" si="39"/>
        <v>20090914.68424689</v>
      </c>
      <c r="C253" s="9">
        <f t="shared" si="35"/>
        <v>180756.9727965924</v>
      </c>
      <c r="D253" s="9">
        <f t="shared" si="36"/>
        <v>160574.73015410802</v>
      </c>
      <c r="E253" s="9">
        <f t="shared" si="31"/>
        <v>20182.242642484365</v>
      </c>
      <c r="F253" s="9" t="b">
        <v>0</v>
      </c>
      <c r="G253" s="24" t="str">
        <f t="shared" si="37"/>
        <v/>
      </c>
      <c r="H253" s="9"/>
      <c r="M253" s="9">
        <f t="shared" si="32"/>
        <v>210802.01686472524</v>
      </c>
      <c r="N253" s="9">
        <f t="shared" si="33"/>
        <v>160574.73015410802</v>
      </c>
      <c r="O253" s="9">
        <f t="shared" si="34"/>
        <v>20182.242642484365</v>
      </c>
      <c r="P253" s="6">
        <f t="shared" si="38"/>
        <v>20090914.68424689</v>
      </c>
    </row>
    <row r="254" spans="1:16" x14ac:dyDescent="0.2">
      <c r="A254" s="3">
        <f t="shared" si="30"/>
        <v>253</v>
      </c>
      <c r="B254" s="6">
        <f t="shared" si="39"/>
        <v>19930339.954092782</v>
      </c>
      <c r="C254" s="9">
        <f t="shared" si="35"/>
        <v>180837.08951377863</v>
      </c>
      <c r="D254" s="9">
        <f t="shared" si="36"/>
        <v>160976.16697949328</v>
      </c>
      <c r="E254" s="9">
        <f t="shared" si="31"/>
        <v>19860.922534285357</v>
      </c>
      <c r="F254" s="9" t="b">
        <v>0</v>
      </c>
      <c r="G254" s="24" t="str">
        <f t="shared" si="37"/>
        <v/>
      </c>
      <c r="H254" s="9"/>
      <c r="M254" s="9">
        <f t="shared" si="32"/>
        <v>210802.01686472524</v>
      </c>
      <c r="N254" s="9">
        <f t="shared" si="33"/>
        <v>160976.16697949328</v>
      </c>
      <c r="O254" s="9">
        <f t="shared" si="34"/>
        <v>19860.922534285357</v>
      </c>
      <c r="P254" s="6">
        <f t="shared" si="38"/>
        <v>19930339.954092782</v>
      </c>
    </row>
    <row r="255" spans="1:16" x14ac:dyDescent="0.2">
      <c r="A255" s="3">
        <f t="shared" si="30"/>
        <v>254</v>
      </c>
      <c r="B255" s="6">
        <f t="shared" si="39"/>
        <v>19769363.78711329</v>
      </c>
      <c r="C255" s="9">
        <f t="shared" si="35"/>
        <v>180919.99462430336</v>
      </c>
      <c r="D255" s="9">
        <f t="shared" si="36"/>
        <v>161378.60739694204</v>
      </c>
      <c r="E255" s="9">
        <f t="shared" si="31"/>
        <v>19541.387227361312</v>
      </c>
      <c r="F255" s="9" t="b">
        <v>0</v>
      </c>
      <c r="G255" s="24" t="str">
        <f t="shared" si="37"/>
        <v/>
      </c>
      <c r="H255" s="9"/>
      <c r="M255" s="9">
        <f t="shared" si="32"/>
        <v>210802.01686472524</v>
      </c>
      <c r="N255" s="9">
        <f t="shared" si="33"/>
        <v>161378.60739694204</v>
      </c>
      <c r="O255" s="9">
        <f t="shared" si="34"/>
        <v>19541.387227361312</v>
      </c>
      <c r="P255" s="6">
        <f t="shared" si="38"/>
        <v>19769363.78711329</v>
      </c>
    </row>
    <row r="256" spans="1:16" x14ac:dyDescent="0.2">
      <c r="A256" s="3">
        <f t="shared" si="30"/>
        <v>255</v>
      </c>
      <c r="B256" s="6">
        <f t="shared" si="39"/>
        <v>19607985.179716349</v>
      </c>
      <c r="C256" s="9">
        <f t="shared" si="35"/>
        <v>181005.70805583318</v>
      </c>
      <c r="D256" s="9">
        <f t="shared" si="36"/>
        <v>161782.05391543437</v>
      </c>
      <c r="E256" s="9">
        <f t="shared" si="31"/>
        <v>19223.654140398798</v>
      </c>
      <c r="F256" s="9" t="b">
        <v>0</v>
      </c>
      <c r="G256" s="24" t="str">
        <f t="shared" si="37"/>
        <v/>
      </c>
      <c r="H256" s="9"/>
      <c r="M256" s="9">
        <f t="shared" si="32"/>
        <v>210802.01686472524</v>
      </c>
      <c r="N256" s="9">
        <f t="shared" si="33"/>
        <v>161782.05391543437</v>
      </c>
      <c r="O256" s="9">
        <f t="shared" si="34"/>
        <v>19223.654140398798</v>
      </c>
      <c r="P256" s="6">
        <f t="shared" si="38"/>
        <v>19607985.179716349</v>
      </c>
    </row>
    <row r="257" spans="1:16" x14ac:dyDescent="0.2">
      <c r="A257" s="3">
        <f t="shared" si="30"/>
        <v>256</v>
      </c>
      <c r="B257" s="6">
        <f t="shared" si="39"/>
        <v>19446203.125800915</v>
      </c>
      <c r="C257" s="9">
        <f t="shared" si="35"/>
        <v>181094.24985071842</v>
      </c>
      <c r="D257" s="9">
        <f t="shared" si="36"/>
        <v>162186.50905022296</v>
      </c>
      <c r="E257" s="9">
        <f t="shared" si="31"/>
        <v>18907.740800495463</v>
      </c>
      <c r="F257" s="9" t="b">
        <v>0</v>
      </c>
      <c r="G257" s="24" t="str">
        <f t="shared" si="37"/>
        <v/>
      </c>
      <c r="H257" s="9"/>
      <c r="M257" s="9">
        <f t="shared" si="32"/>
        <v>210802.01686472524</v>
      </c>
      <c r="N257" s="9">
        <f t="shared" si="33"/>
        <v>162186.50905022296</v>
      </c>
      <c r="O257" s="9">
        <f t="shared" si="34"/>
        <v>18907.740800495463</v>
      </c>
      <c r="P257" s="6">
        <f t="shared" si="38"/>
        <v>19446203.125800915</v>
      </c>
    </row>
    <row r="258" spans="1:16" x14ac:dyDescent="0.2">
      <c r="A258" s="3">
        <f t="shared" ref="A258:A321" si="40">IF(ROW(A258)-1&gt;$I$4,"",ROW(A258)-1)</f>
        <v>257</v>
      </c>
      <c r="B258" s="6">
        <f t="shared" si="39"/>
        <v>19284016.616750691</v>
      </c>
      <c r="C258" s="9">
        <f t="shared" si="35"/>
        <v>181185.64016660437</v>
      </c>
      <c r="D258" s="9">
        <f t="shared" si="36"/>
        <v>162591.97532284854</v>
      </c>
      <c r="E258" s="9">
        <f t="shared" ref="E258:E321" si="41">MAX(0,-IPMT($I$2/12,A258, $I$4,B258))</f>
        <v>18593.664843755836</v>
      </c>
      <c r="F258" s="9" t="b">
        <v>0</v>
      </c>
      <c r="G258" s="24" t="str">
        <f t="shared" si="37"/>
        <v/>
      </c>
      <c r="H258" s="9"/>
      <c r="M258" s="9">
        <f t="shared" ref="M258:M321" si="42">-PMT($I$2/12, ($I$4/12)*12, $I$3)</f>
        <v>210802.01686472524</v>
      </c>
      <c r="N258" s="9">
        <f t="shared" ref="N258:N321" si="43">-PPMT($I$2/12,A258,$I$4, $I$3)</f>
        <v>162591.97532284854</v>
      </c>
      <c r="O258" s="9">
        <f t="shared" ref="O258:O321" si="44">MAX(0,-IPMT($I$2/12,A258, $I$4,P258))</f>
        <v>18593.664843755836</v>
      </c>
      <c r="P258" s="6">
        <f t="shared" si="38"/>
        <v>19284016.616750691</v>
      </c>
    </row>
    <row r="259" spans="1:16" x14ac:dyDescent="0.2">
      <c r="A259" s="3">
        <f t="shared" si="40"/>
        <v>258</v>
      </c>
      <c r="B259" s="6">
        <f t="shared" si="39"/>
        <v>19121424.641427841</v>
      </c>
      <c r="C259" s="9">
        <f t="shared" ref="C259:C322" si="45">IF(B259&gt;0, IF(F259=TRUE, D259+E259+G259,D259+E259), "")</f>
        <v>181279.89927704583</v>
      </c>
      <c r="D259" s="9">
        <f t="shared" ref="D259:D322" si="46">-PPMT($I$2/12,A259,$I$4, $I$3)</f>
        <v>162998.45526115564</v>
      </c>
      <c r="E259" s="9">
        <f t="shared" si="41"/>
        <v>18281.444015890189</v>
      </c>
      <c r="F259" s="9" t="b">
        <v>0</v>
      </c>
      <c r="G259" s="24" t="str">
        <f t="shared" ref="G259:G322" si="47">IF(F259=TRUE,D259*2,"")</f>
        <v/>
      </c>
      <c r="H259" s="9"/>
      <c r="M259" s="9">
        <f t="shared" si="42"/>
        <v>210802.01686472524</v>
      </c>
      <c r="N259" s="9">
        <f t="shared" si="43"/>
        <v>162998.45526115564</v>
      </c>
      <c r="O259" s="9">
        <f t="shared" si="44"/>
        <v>18281.444015890189</v>
      </c>
      <c r="P259" s="6">
        <f t="shared" ref="P259:P322" si="48">P258-N258</f>
        <v>19121424.641427841</v>
      </c>
    </row>
    <row r="260" spans="1:16" x14ac:dyDescent="0.2">
      <c r="A260" s="3">
        <f t="shared" si="40"/>
        <v>259</v>
      </c>
      <c r="B260" s="6">
        <f t="shared" ref="B260:B323" si="49">MAX(0,IF(F260=TRUE,B259-(D260+G260),B259-D259))</f>
        <v>18958426.186166685</v>
      </c>
      <c r="C260" s="9">
        <f t="shared" si="45"/>
        <v>181377.04757212507</v>
      </c>
      <c r="D260" s="9">
        <f t="shared" si="46"/>
        <v>163405.95139930854</v>
      </c>
      <c r="E260" s="9">
        <f t="shared" si="41"/>
        <v>17971.096172816535</v>
      </c>
      <c r="F260" s="9" t="b">
        <v>0</v>
      </c>
      <c r="G260" s="24" t="str">
        <f t="shared" si="47"/>
        <v/>
      </c>
      <c r="H260" s="9"/>
      <c r="M260" s="9">
        <f t="shared" si="42"/>
        <v>210802.01686472524</v>
      </c>
      <c r="N260" s="9">
        <f t="shared" si="43"/>
        <v>163405.95139930854</v>
      </c>
      <c r="O260" s="9">
        <f t="shared" si="44"/>
        <v>17971.096172816535</v>
      </c>
      <c r="P260" s="6">
        <f t="shared" si="48"/>
        <v>18958426.186166685</v>
      </c>
    </row>
    <row r="261" spans="1:16" x14ac:dyDescent="0.2">
      <c r="A261" s="3">
        <f t="shared" si="40"/>
        <v>260</v>
      </c>
      <c r="B261" s="6">
        <f t="shared" si="49"/>
        <v>18795020.234767377</v>
      </c>
      <c r="C261" s="9">
        <f t="shared" si="45"/>
        <v>181477.10555907254</v>
      </c>
      <c r="D261" s="9">
        <f t="shared" si="46"/>
        <v>163814.46627780679</v>
      </c>
      <c r="E261" s="9">
        <f t="shared" si="41"/>
        <v>17662.639281265758</v>
      </c>
      <c r="F261" s="9" t="b">
        <v>0</v>
      </c>
      <c r="G261" s="24" t="str">
        <f t="shared" si="47"/>
        <v/>
      </c>
      <c r="H261" s="9"/>
      <c r="M261" s="9">
        <f t="shared" si="42"/>
        <v>210802.01686472524</v>
      </c>
      <c r="N261" s="9">
        <f t="shared" si="43"/>
        <v>163814.46627780679</v>
      </c>
      <c r="O261" s="9">
        <f t="shared" si="44"/>
        <v>17662.639281265758</v>
      </c>
      <c r="P261" s="6">
        <f t="shared" si="48"/>
        <v>18795020.234767377</v>
      </c>
    </row>
    <row r="262" spans="1:16" x14ac:dyDescent="0.2">
      <c r="A262" s="3">
        <f t="shared" si="40"/>
        <v>261</v>
      </c>
      <c r="B262" s="6">
        <f t="shared" si="49"/>
        <v>18631205.768489569</v>
      </c>
      <c r="C262" s="9">
        <f t="shared" si="45"/>
        <v>181580.09386289126</v>
      </c>
      <c r="D262" s="9">
        <f t="shared" si="46"/>
        <v>164224.00244350132</v>
      </c>
      <c r="E262" s="9">
        <f t="shared" si="41"/>
        <v>17356.091419389948</v>
      </c>
      <c r="F262" s="9" t="b">
        <v>0</v>
      </c>
      <c r="G262" s="24" t="str">
        <f t="shared" si="47"/>
        <v/>
      </c>
      <c r="H262" s="9"/>
      <c r="M262" s="9">
        <f t="shared" si="42"/>
        <v>210802.01686472524</v>
      </c>
      <c r="N262" s="9">
        <f t="shared" si="43"/>
        <v>164224.00244350132</v>
      </c>
      <c r="O262" s="9">
        <f t="shared" si="44"/>
        <v>17356.091419389948</v>
      </c>
      <c r="P262" s="6">
        <f t="shared" si="48"/>
        <v>18631205.768489569</v>
      </c>
    </row>
    <row r="263" spans="1:16" x14ac:dyDescent="0.2">
      <c r="A263" s="3">
        <f t="shared" si="40"/>
        <v>262</v>
      </c>
      <c r="B263" s="6">
        <f t="shared" si="49"/>
        <v>18466981.76604607</v>
      </c>
      <c r="C263" s="9">
        <f t="shared" si="45"/>
        <v>181686.033226984</v>
      </c>
      <c r="D263" s="9">
        <f t="shared" si="46"/>
        <v>164634.56244961009</v>
      </c>
      <c r="E263" s="9">
        <f t="shared" si="41"/>
        <v>17051.470777373899</v>
      </c>
      <c r="F263" s="9" t="b">
        <v>0</v>
      </c>
      <c r="G263" s="24" t="str">
        <f t="shared" si="47"/>
        <v/>
      </c>
      <c r="H263" s="9"/>
      <c r="M263" s="9">
        <f t="shared" si="42"/>
        <v>210802.01686472524</v>
      </c>
      <c r="N263" s="9">
        <f t="shared" si="43"/>
        <v>164634.56244961009</v>
      </c>
      <c r="O263" s="9">
        <f t="shared" si="44"/>
        <v>17051.470777373899</v>
      </c>
      <c r="P263" s="6">
        <f t="shared" si="48"/>
        <v>18466981.76604607</v>
      </c>
    </row>
    <row r="264" spans="1:16" x14ac:dyDescent="0.2">
      <c r="A264" s="3">
        <f t="shared" si="40"/>
        <v>263</v>
      </c>
      <c r="B264" s="6">
        <f t="shared" si="49"/>
        <v>18302347.203596458</v>
      </c>
      <c r="C264" s="9">
        <f t="shared" si="45"/>
        <v>181794.94451378388</v>
      </c>
      <c r="D264" s="9">
        <f t="shared" si="46"/>
        <v>165046.14885573412</v>
      </c>
      <c r="E264" s="9">
        <f t="shared" si="41"/>
        <v>16748.795658049756</v>
      </c>
      <c r="F264" s="9" t="b">
        <v>0</v>
      </c>
      <c r="G264" s="24" t="str">
        <f t="shared" si="47"/>
        <v/>
      </c>
      <c r="H264" s="9"/>
      <c r="M264" s="9">
        <f t="shared" si="42"/>
        <v>210802.01686472524</v>
      </c>
      <c r="N264" s="9">
        <f t="shared" si="43"/>
        <v>165046.14885573412</v>
      </c>
      <c r="O264" s="9">
        <f t="shared" si="44"/>
        <v>16748.795658049756</v>
      </c>
      <c r="P264" s="6">
        <f t="shared" si="48"/>
        <v>18302347.203596458</v>
      </c>
    </row>
    <row r="265" spans="1:16" x14ac:dyDescent="0.2">
      <c r="A265" s="3">
        <f t="shared" si="40"/>
        <v>264</v>
      </c>
      <c r="B265" s="6">
        <f t="shared" si="49"/>
        <v>18137301.054740723</v>
      </c>
      <c r="C265" s="9">
        <f t="shared" si="45"/>
        <v>181906.8487053884</v>
      </c>
      <c r="D265" s="9">
        <f t="shared" si="46"/>
        <v>165458.76422787344</v>
      </c>
      <c r="E265" s="9">
        <f t="shared" si="41"/>
        <v>16448.084477514949</v>
      </c>
      <c r="F265" s="9" t="b">
        <v>0</v>
      </c>
      <c r="G265" s="24" t="str">
        <f t="shared" si="47"/>
        <v/>
      </c>
      <c r="H265" s="9"/>
      <c r="M265" s="9">
        <f t="shared" si="42"/>
        <v>210802.01686472524</v>
      </c>
      <c r="N265" s="9">
        <f t="shared" si="43"/>
        <v>165458.76422787344</v>
      </c>
      <c r="O265" s="9">
        <f t="shared" si="44"/>
        <v>16448.084477514949</v>
      </c>
      <c r="P265" s="6">
        <f t="shared" si="48"/>
        <v>18137301.054740723</v>
      </c>
    </row>
    <row r="266" spans="1:16" x14ac:dyDescent="0.2">
      <c r="A266" s="3">
        <f t="shared" si="40"/>
        <v>265</v>
      </c>
      <c r="B266" s="6">
        <f t="shared" si="49"/>
        <v>17971842.290512849</v>
      </c>
      <c r="C266" s="9">
        <f t="shared" si="45"/>
        <v>182021.76690419641</v>
      </c>
      <c r="D266" s="9">
        <f t="shared" si="46"/>
        <v>165872.4111384431</v>
      </c>
      <c r="E266" s="9">
        <f t="shared" si="41"/>
        <v>16149.355765753307</v>
      </c>
      <c r="F266" s="9" t="b">
        <v>0</v>
      </c>
      <c r="G266" s="24" t="str">
        <f t="shared" si="47"/>
        <v/>
      </c>
      <c r="H266" s="9"/>
      <c r="M266" s="9">
        <f t="shared" si="42"/>
        <v>210802.01686472524</v>
      </c>
      <c r="N266" s="9">
        <f t="shared" si="43"/>
        <v>165872.4111384431</v>
      </c>
      <c r="O266" s="9">
        <f t="shared" si="44"/>
        <v>16149.355765753307</v>
      </c>
      <c r="P266" s="6">
        <f t="shared" si="48"/>
        <v>17971842.290512849</v>
      </c>
    </row>
    <row r="267" spans="1:16" x14ac:dyDescent="0.2">
      <c r="A267" s="3">
        <f t="shared" si="40"/>
        <v>266</v>
      </c>
      <c r="B267" s="6">
        <f t="shared" si="49"/>
        <v>17805969.879374407</v>
      </c>
      <c r="C267" s="9">
        <f t="shared" si="45"/>
        <v>182139.72033354867</v>
      </c>
      <c r="D267" s="9">
        <f t="shared" si="46"/>
        <v>166287.09216628922</v>
      </c>
      <c r="E267" s="9">
        <f t="shared" si="41"/>
        <v>15852.628167259436</v>
      </c>
      <c r="F267" s="9" t="b">
        <v>0</v>
      </c>
      <c r="G267" s="24" t="str">
        <f t="shared" si="47"/>
        <v/>
      </c>
      <c r="H267" s="9"/>
      <c r="M267" s="9">
        <f t="shared" si="42"/>
        <v>210802.01686472524</v>
      </c>
      <c r="N267" s="9">
        <f t="shared" si="43"/>
        <v>166287.09216628922</v>
      </c>
      <c r="O267" s="9">
        <f t="shared" si="44"/>
        <v>15852.628167259436</v>
      </c>
      <c r="P267" s="6">
        <f t="shared" si="48"/>
        <v>17805969.879374407</v>
      </c>
    </row>
    <row r="268" spans="1:16" x14ac:dyDescent="0.2">
      <c r="A268" s="3">
        <f t="shared" si="40"/>
        <v>267</v>
      </c>
      <c r="B268" s="6">
        <f t="shared" si="49"/>
        <v>17639682.787208118</v>
      </c>
      <c r="C268" s="9">
        <f t="shared" si="45"/>
        <v>182260.73033837127</v>
      </c>
      <c r="D268" s="9">
        <f t="shared" si="46"/>
        <v>166702.80989670494</v>
      </c>
      <c r="E268" s="9">
        <f t="shared" si="41"/>
        <v>15557.920441666316</v>
      </c>
      <c r="F268" s="9" t="b">
        <v>0</v>
      </c>
      <c r="G268" s="24" t="str">
        <f t="shared" si="47"/>
        <v/>
      </c>
      <c r="H268" s="9"/>
      <c r="M268" s="9">
        <f t="shared" si="42"/>
        <v>210802.01686472524</v>
      </c>
      <c r="N268" s="9">
        <f t="shared" si="43"/>
        <v>166702.80989670494</v>
      </c>
      <c r="O268" s="9">
        <f t="shared" si="44"/>
        <v>15557.920441666316</v>
      </c>
      <c r="P268" s="6">
        <f t="shared" si="48"/>
        <v>17639682.787208118</v>
      </c>
    </row>
    <row r="269" spans="1:16" x14ac:dyDescent="0.2">
      <c r="A269" s="3">
        <f t="shared" si="40"/>
        <v>268</v>
      </c>
      <c r="B269" s="6">
        <f t="shared" si="49"/>
        <v>17472979.977311414</v>
      </c>
      <c r="C269" s="9">
        <f t="shared" si="45"/>
        <v>182384.81838582299</v>
      </c>
      <c r="D269" s="9">
        <f t="shared" si="46"/>
        <v>167119.56692144671</v>
      </c>
      <c r="E269" s="9">
        <f t="shared" si="41"/>
        <v>15265.251464376281</v>
      </c>
      <c r="F269" s="9" t="b">
        <v>0</v>
      </c>
      <c r="G269" s="24" t="str">
        <f t="shared" si="47"/>
        <v/>
      </c>
      <c r="H269" s="9"/>
      <c r="M269" s="9">
        <f t="shared" si="42"/>
        <v>210802.01686472524</v>
      </c>
      <c r="N269" s="9">
        <f t="shared" si="43"/>
        <v>167119.56692144671</v>
      </c>
      <c r="O269" s="9">
        <f t="shared" si="44"/>
        <v>15265.251464376281</v>
      </c>
      <c r="P269" s="6">
        <f t="shared" si="48"/>
        <v>17472979.977311414</v>
      </c>
    </row>
    <row r="270" spans="1:16" x14ac:dyDescent="0.2">
      <c r="A270" s="3">
        <f t="shared" si="40"/>
        <v>269</v>
      </c>
      <c r="B270" s="6">
        <f t="shared" si="49"/>
        <v>17305860.410389967</v>
      </c>
      <c r="C270" s="9">
        <f t="shared" si="45"/>
        <v>182512.00606594546</v>
      </c>
      <c r="D270" s="9">
        <f t="shared" si="46"/>
        <v>167537.36583875032</v>
      </c>
      <c r="E270" s="9">
        <f t="shared" si="41"/>
        <v>14974.640227195139</v>
      </c>
      <c r="F270" s="9" t="b">
        <v>0</v>
      </c>
      <c r="G270" s="24" t="str">
        <f t="shared" si="47"/>
        <v/>
      </c>
      <c r="H270" s="9"/>
      <c r="M270" s="9">
        <f t="shared" si="42"/>
        <v>210802.01686472524</v>
      </c>
      <c r="N270" s="9">
        <f t="shared" si="43"/>
        <v>167537.36583875032</v>
      </c>
      <c r="O270" s="9">
        <f t="shared" si="44"/>
        <v>14974.640227195139</v>
      </c>
      <c r="P270" s="6">
        <f t="shared" si="48"/>
        <v>17305860.410389967</v>
      </c>
    </row>
    <row r="271" spans="1:16" x14ac:dyDescent="0.2">
      <c r="A271" s="3">
        <f t="shared" si="40"/>
        <v>270</v>
      </c>
      <c r="B271" s="6">
        <f t="shared" si="49"/>
        <v>17138323.044551216</v>
      </c>
      <c r="C271" s="9">
        <f t="shared" si="45"/>
        <v>182642.31509231695</v>
      </c>
      <c r="D271" s="9">
        <f t="shared" si="46"/>
        <v>167956.20925334719</v>
      </c>
      <c r="E271" s="9">
        <f t="shared" si="41"/>
        <v>14686.105838969763</v>
      </c>
      <c r="F271" s="9" t="b">
        <v>0</v>
      </c>
      <c r="G271" s="24" t="str">
        <f t="shared" si="47"/>
        <v/>
      </c>
      <c r="H271" s="9"/>
      <c r="M271" s="9">
        <f t="shared" si="42"/>
        <v>210802.01686472524</v>
      </c>
      <c r="N271" s="9">
        <f t="shared" si="43"/>
        <v>167956.20925334719</v>
      </c>
      <c r="O271" s="9">
        <f t="shared" si="44"/>
        <v>14686.105838969763</v>
      </c>
      <c r="P271" s="6">
        <f t="shared" si="48"/>
        <v>17138323.044551216</v>
      </c>
    </row>
    <row r="272" spans="1:16" x14ac:dyDescent="0.2">
      <c r="A272" s="3">
        <f t="shared" si="40"/>
        <v>271</v>
      </c>
      <c r="B272" s="6">
        <f t="shared" si="49"/>
        <v>16970366.835297868</v>
      </c>
      <c r="C272" s="9">
        <f t="shared" si="45"/>
        <v>182775.76730270946</v>
      </c>
      <c r="D272" s="9">
        <f t="shared" si="46"/>
        <v>168376.09977648058</v>
      </c>
      <c r="E272" s="9">
        <f t="shared" si="41"/>
        <v>14399.667526228892</v>
      </c>
      <c r="F272" s="9" t="b">
        <v>0</v>
      </c>
      <c r="G272" s="24" t="str">
        <f t="shared" si="47"/>
        <v/>
      </c>
      <c r="H272" s="9"/>
      <c r="M272" s="9">
        <f t="shared" si="42"/>
        <v>210802.01686472524</v>
      </c>
      <c r="N272" s="9">
        <f t="shared" si="43"/>
        <v>168376.09977648058</v>
      </c>
      <c r="O272" s="9">
        <f t="shared" si="44"/>
        <v>14399.667526228892</v>
      </c>
      <c r="P272" s="6">
        <f t="shared" si="48"/>
        <v>16970366.835297868</v>
      </c>
    </row>
    <row r="273" spans="1:16" x14ac:dyDescent="0.2">
      <c r="A273" s="3">
        <f t="shared" si="40"/>
        <v>272</v>
      </c>
      <c r="B273" s="6">
        <f t="shared" si="49"/>
        <v>16801990.735521387</v>
      </c>
      <c r="C273" s="9">
        <f t="shared" si="45"/>
        <v>182912.38465974911</v>
      </c>
      <c r="D273" s="9">
        <f t="shared" si="46"/>
        <v>168797.04002592177</v>
      </c>
      <c r="E273" s="9">
        <f t="shared" si="41"/>
        <v>14115.344633827328</v>
      </c>
      <c r="F273" s="9" t="b">
        <v>0</v>
      </c>
      <c r="G273" s="24" t="str">
        <f t="shared" si="47"/>
        <v/>
      </c>
      <c r="H273" s="9"/>
      <c r="M273" s="9">
        <f t="shared" si="42"/>
        <v>210802.01686472524</v>
      </c>
      <c r="N273" s="9">
        <f t="shared" si="43"/>
        <v>168797.04002592177</v>
      </c>
      <c r="O273" s="9">
        <f t="shared" si="44"/>
        <v>14115.344633827328</v>
      </c>
      <c r="P273" s="6">
        <f t="shared" si="48"/>
        <v>16801990.735521387</v>
      </c>
    </row>
    <row r="274" spans="1:16" x14ac:dyDescent="0.2">
      <c r="A274" s="3">
        <f t="shared" si="40"/>
        <v>273</v>
      </c>
      <c r="B274" s="6">
        <f t="shared" si="49"/>
        <v>16633193.695495466</v>
      </c>
      <c r="C274" s="9">
        <f t="shared" si="45"/>
        <v>183052.18925158013</v>
      </c>
      <c r="D274" s="9">
        <f t="shared" si="46"/>
        <v>169219.03262598661</v>
      </c>
      <c r="E274" s="9">
        <f t="shared" si="41"/>
        <v>13833.156625593505</v>
      </c>
      <c r="F274" s="9" t="b">
        <v>0</v>
      </c>
      <c r="G274" s="24" t="str">
        <f t="shared" si="47"/>
        <v/>
      </c>
      <c r="H274" s="9"/>
      <c r="M274" s="9">
        <f t="shared" si="42"/>
        <v>210802.01686472524</v>
      </c>
      <c r="N274" s="9">
        <f t="shared" si="43"/>
        <v>169219.03262598661</v>
      </c>
      <c r="O274" s="9">
        <f t="shared" si="44"/>
        <v>13833.156625593505</v>
      </c>
      <c r="P274" s="6">
        <f t="shared" si="48"/>
        <v>16633193.695495466</v>
      </c>
    </row>
    <row r="275" spans="1:16" x14ac:dyDescent="0.2">
      <c r="A275" s="3">
        <f t="shared" si="40"/>
        <v>274</v>
      </c>
      <c r="B275" s="6">
        <f t="shared" si="49"/>
        <v>16463974.66286948</v>
      </c>
      <c r="C275" s="9">
        <f t="shared" si="45"/>
        <v>183195.20329253195</v>
      </c>
      <c r="D275" s="9">
        <f t="shared" si="46"/>
        <v>169642.08020755154</v>
      </c>
      <c r="E275" s="9">
        <f t="shared" si="41"/>
        <v>13553.123084980409</v>
      </c>
      <c r="F275" s="9" t="b">
        <v>0</v>
      </c>
      <c r="G275" s="24" t="str">
        <f t="shared" si="47"/>
        <v/>
      </c>
      <c r="H275" s="9"/>
      <c r="M275" s="9">
        <f t="shared" si="42"/>
        <v>210802.01686472524</v>
      </c>
      <c r="N275" s="9">
        <f t="shared" si="43"/>
        <v>169642.08020755154</v>
      </c>
      <c r="O275" s="9">
        <f t="shared" si="44"/>
        <v>13553.123084980409</v>
      </c>
      <c r="P275" s="6">
        <f t="shared" si="48"/>
        <v>16463974.66286948</v>
      </c>
    </row>
    <row r="276" spans="1:16" x14ac:dyDescent="0.2">
      <c r="A276" s="3">
        <f t="shared" si="40"/>
        <v>275</v>
      </c>
      <c r="B276" s="6">
        <f t="shared" si="49"/>
        <v>16294332.582661929</v>
      </c>
      <c r="C276" s="9">
        <f t="shared" si="45"/>
        <v>183341.44912379031</v>
      </c>
      <c r="D276" s="9">
        <f t="shared" si="46"/>
        <v>170066.18540807042</v>
      </c>
      <c r="E276" s="9">
        <f t="shared" si="41"/>
        <v>13275.263715719906</v>
      </c>
      <c r="F276" s="9" t="b">
        <v>0</v>
      </c>
      <c r="G276" s="24" t="str">
        <f t="shared" si="47"/>
        <v/>
      </c>
      <c r="H276" s="9"/>
      <c r="M276" s="9">
        <f t="shared" si="42"/>
        <v>210802.01686472524</v>
      </c>
      <c r="N276" s="9">
        <f t="shared" si="43"/>
        <v>170066.18540807042</v>
      </c>
      <c r="O276" s="9">
        <f t="shared" si="44"/>
        <v>13275.263715719906</v>
      </c>
      <c r="P276" s="6">
        <f t="shared" si="48"/>
        <v>16294332.582661929</v>
      </c>
    </row>
    <row r="277" spans="1:16" x14ac:dyDescent="0.2">
      <c r="A277" s="3">
        <f t="shared" si="40"/>
        <v>276</v>
      </c>
      <c r="B277" s="6">
        <f t="shared" si="49"/>
        <v>16124266.397253858</v>
      </c>
      <c r="C277" s="9">
        <f t="shared" si="45"/>
        <v>183490.94921407109</v>
      </c>
      <c r="D277" s="9">
        <f t="shared" si="46"/>
        <v>170491.35087159061</v>
      </c>
      <c r="E277" s="9">
        <f t="shared" si="41"/>
        <v>12999.598342480494</v>
      </c>
      <c r="F277" s="9" t="b">
        <v>0</v>
      </c>
      <c r="G277" s="24" t="str">
        <f t="shared" si="47"/>
        <v/>
      </c>
      <c r="H277" s="9"/>
      <c r="M277" s="9">
        <f t="shared" si="42"/>
        <v>210802.01686472524</v>
      </c>
      <c r="N277" s="9">
        <f t="shared" si="43"/>
        <v>170491.35087159061</v>
      </c>
      <c r="O277" s="9">
        <f t="shared" si="44"/>
        <v>12999.598342480494</v>
      </c>
      <c r="P277" s="6">
        <f t="shared" si="48"/>
        <v>16124266.397253858</v>
      </c>
    </row>
    <row r="278" spans="1:16" x14ac:dyDescent="0.2">
      <c r="A278" s="3">
        <f t="shared" si="40"/>
        <v>277</v>
      </c>
      <c r="B278" s="6">
        <f t="shared" si="49"/>
        <v>15953775.046382267</v>
      </c>
      <c r="C278" s="9">
        <f t="shared" si="45"/>
        <v>183643.72616029807</v>
      </c>
      <c r="D278" s="9">
        <f t="shared" si="46"/>
        <v>170917.57924876959</v>
      </c>
      <c r="E278" s="9">
        <f t="shared" si="41"/>
        <v>12726.146911528476</v>
      </c>
      <c r="F278" s="9" t="b">
        <v>0</v>
      </c>
      <c r="G278" s="24" t="str">
        <f t="shared" si="47"/>
        <v/>
      </c>
      <c r="H278" s="9"/>
      <c r="M278" s="9">
        <f t="shared" si="42"/>
        <v>210802.01686472524</v>
      </c>
      <c r="N278" s="9">
        <f t="shared" si="43"/>
        <v>170917.57924876959</v>
      </c>
      <c r="O278" s="9">
        <f t="shared" si="44"/>
        <v>12726.146911528476</v>
      </c>
      <c r="P278" s="6">
        <f t="shared" si="48"/>
        <v>15953775.046382267</v>
      </c>
    </row>
    <row r="279" spans="1:16" x14ac:dyDescent="0.2">
      <c r="A279" s="3">
        <f t="shared" si="40"/>
        <v>278</v>
      </c>
      <c r="B279" s="6">
        <f t="shared" si="49"/>
        <v>15782857.467133498</v>
      </c>
      <c r="C279" s="9">
        <f t="shared" si="45"/>
        <v>183799.80268828405</v>
      </c>
      <c r="D279" s="9">
        <f t="shared" si="46"/>
        <v>171344.87319689148</v>
      </c>
      <c r="E279" s="9">
        <f t="shared" si="41"/>
        <v>12454.929491392582</v>
      </c>
      <c r="F279" s="9" t="b">
        <v>0</v>
      </c>
      <c r="G279" s="24" t="str">
        <f t="shared" si="47"/>
        <v/>
      </c>
      <c r="H279" s="9"/>
      <c r="M279" s="9">
        <f t="shared" si="42"/>
        <v>210802.01686472524</v>
      </c>
      <c r="N279" s="9">
        <f t="shared" si="43"/>
        <v>171344.87319689148</v>
      </c>
      <c r="O279" s="9">
        <f t="shared" si="44"/>
        <v>12454.929491392582</v>
      </c>
      <c r="P279" s="6">
        <f t="shared" si="48"/>
        <v>15782857.467133498</v>
      </c>
    </row>
    <row r="280" spans="1:16" x14ac:dyDescent="0.2">
      <c r="A280" s="3">
        <f t="shared" si="40"/>
        <v>279</v>
      </c>
      <c r="B280" s="6">
        <f t="shared" si="49"/>
        <v>15611512.593936607</v>
      </c>
      <c r="C280" s="9">
        <f t="shared" si="45"/>
        <v>183959.2016534158</v>
      </c>
      <c r="D280" s="9">
        <f t="shared" si="46"/>
        <v>171773.23537988373</v>
      </c>
      <c r="E280" s="9">
        <f t="shared" si="41"/>
        <v>12185.966273532065</v>
      </c>
      <c r="F280" s="9" t="b">
        <v>0</v>
      </c>
      <c r="G280" s="24" t="str">
        <f t="shared" si="47"/>
        <v/>
      </c>
      <c r="H280" s="9"/>
      <c r="M280" s="9">
        <f t="shared" si="42"/>
        <v>210802.01686472524</v>
      </c>
      <c r="N280" s="9">
        <f t="shared" si="43"/>
        <v>171773.23537988373</v>
      </c>
      <c r="O280" s="9">
        <f t="shared" si="44"/>
        <v>12185.966273532065</v>
      </c>
      <c r="P280" s="6">
        <f t="shared" si="48"/>
        <v>15611512.593936607</v>
      </c>
    </row>
    <row r="281" spans="1:16" x14ac:dyDescent="0.2">
      <c r="A281" s="3">
        <f t="shared" si="40"/>
        <v>280</v>
      </c>
      <c r="B281" s="6">
        <f t="shared" si="49"/>
        <v>15439739.358556723</v>
      </c>
      <c r="C281" s="9">
        <f t="shared" si="45"/>
        <v>184121.94604134175</v>
      </c>
      <c r="D281" s="9">
        <f t="shared" si="46"/>
        <v>172202.66846833346</v>
      </c>
      <c r="E281" s="9">
        <f t="shared" si="41"/>
        <v>11919.277573008279</v>
      </c>
      <c r="F281" s="9" t="b">
        <v>0</v>
      </c>
      <c r="G281" s="24" t="str">
        <f t="shared" si="47"/>
        <v/>
      </c>
      <c r="H281" s="9"/>
      <c r="M281" s="9">
        <f t="shared" si="42"/>
        <v>210802.01686472524</v>
      </c>
      <c r="N281" s="9">
        <f t="shared" si="43"/>
        <v>172202.66846833346</v>
      </c>
      <c r="O281" s="9">
        <f t="shared" si="44"/>
        <v>11919.277573008279</v>
      </c>
      <c r="P281" s="6">
        <f t="shared" si="48"/>
        <v>15439739.358556723</v>
      </c>
    </row>
    <row r="282" spans="1:16" x14ac:dyDescent="0.2">
      <c r="A282" s="3">
        <f t="shared" si="40"/>
        <v>281</v>
      </c>
      <c r="B282" s="6">
        <f t="shared" si="49"/>
        <v>15267536.690088389</v>
      </c>
      <c r="C282" s="9">
        <f t="shared" si="45"/>
        <v>184288.058968664</v>
      </c>
      <c r="D282" s="9">
        <f t="shared" si="46"/>
        <v>172633.17513950425</v>
      </c>
      <c r="E282" s="9">
        <f t="shared" si="41"/>
        <v>11654.883829159755</v>
      </c>
      <c r="F282" s="9" t="b">
        <v>0</v>
      </c>
      <c r="G282" s="24" t="str">
        <f t="shared" si="47"/>
        <v/>
      </c>
      <c r="H282" s="9"/>
      <c r="M282" s="9">
        <f t="shared" si="42"/>
        <v>210802.01686472524</v>
      </c>
      <c r="N282" s="9">
        <f t="shared" si="43"/>
        <v>172633.17513950425</v>
      </c>
      <c r="O282" s="9">
        <f t="shared" si="44"/>
        <v>11654.883829159755</v>
      </c>
      <c r="P282" s="6">
        <f t="shared" si="48"/>
        <v>15267536.690088389</v>
      </c>
    </row>
    <row r="283" spans="1:16" x14ac:dyDescent="0.2">
      <c r="A283" s="3">
        <f t="shared" si="40"/>
        <v>282</v>
      </c>
      <c r="B283" s="6">
        <f t="shared" si="49"/>
        <v>15094903.514948886</v>
      </c>
      <c r="C283" s="9">
        <f t="shared" si="45"/>
        <v>184457.56368363381</v>
      </c>
      <c r="D283" s="9">
        <f t="shared" si="46"/>
        <v>173064.75807735301</v>
      </c>
      <c r="E283" s="9">
        <f t="shared" si="41"/>
        <v>11392.805606280812</v>
      </c>
      <c r="F283" s="9" t="b">
        <v>0</v>
      </c>
      <c r="G283" s="24" t="str">
        <f t="shared" si="47"/>
        <v/>
      </c>
      <c r="H283" s="9"/>
      <c r="M283" s="9">
        <f t="shared" si="42"/>
        <v>210802.01686472524</v>
      </c>
      <c r="N283" s="9">
        <f t="shared" si="43"/>
        <v>173064.75807735301</v>
      </c>
      <c r="O283" s="9">
        <f t="shared" si="44"/>
        <v>11392.805606280812</v>
      </c>
      <c r="P283" s="6">
        <f t="shared" si="48"/>
        <v>15094903.514948886</v>
      </c>
    </row>
    <row r="284" spans="1:16" x14ac:dyDescent="0.2">
      <c r="A284" s="3">
        <f t="shared" si="40"/>
        <v>283</v>
      </c>
      <c r="B284" s="6">
        <f t="shared" si="49"/>
        <v>14921838.756871533</v>
      </c>
      <c r="C284" s="9">
        <f t="shared" si="45"/>
        <v>184630.48356685007</v>
      </c>
      <c r="D284" s="9">
        <f t="shared" si="46"/>
        <v>173497.4199725464</v>
      </c>
      <c r="E284" s="9">
        <f t="shared" si="41"/>
        <v>11133.063594303667</v>
      </c>
      <c r="F284" s="9" t="b">
        <v>0</v>
      </c>
      <c r="G284" s="24" t="str">
        <f t="shared" si="47"/>
        <v/>
      </c>
      <c r="H284" s="9"/>
      <c r="M284" s="9">
        <f t="shared" si="42"/>
        <v>210802.01686472524</v>
      </c>
      <c r="N284" s="9">
        <f t="shared" si="43"/>
        <v>173497.4199725464</v>
      </c>
      <c r="O284" s="9">
        <f t="shared" si="44"/>
        <v>11133.063594303667</v>
      </c>
      <c r="P284" s="6">
        <f t="shared" si="48"/>
        <v>14921838.756871533</v>
      </c>
    </row>
    <row r="285" spans="1:16" x14ac:dyDescent="0.2">
      <c r="A285" s="3">
        <f t="shared" si="40"/>
        <v>284</v>
      </c>
      <c r="B285" s="6">
        <f t="shared" si="49"/>
        <v>14748341.336898986</v>
      </c>
      <c r="C285" s="9">
        <f t="shared" si="45"/>
        <v>184806.84213196195</v>
      </c>
      <c r="D285" s="9">
        <f t="shared" si="46"/>
        <v>173931.16352247779</v>
      </c>
      <c r="E285" s="9">
        <f t="shared" si="41"/>
        <v>10875.678609484168</v>
      </c>
      <c r="F285" s="9" t="b">
        <v>0</v>
      </c>
      <c r="G285" s="24" t="str">
        <f t="shared" si="47"/>
        <v/>
      </c>
      <c r="H285" s="9"/>
      <c r="M285" s="9">
        <f t="shared" si="42"/>
        <v>210802.01686472524</v>
      </c>
      <c r="N285" s="9">
        <f t="shared" si="43"/>
        <v>173931.16352247779</v>
      </c>
      <c r="O285" s="9">
        <f t="shared" si="44"/>
        <v>10875.678609484168</v>
      </c>
      <c r="P285" s="6">
        <f t="shared" si="48"/>
        <v>14748341.336898986</v>
      </c>
    </row>
    <row r="286" spans="1:16" x14ac:dyDescent="0.2">
      <c r="A286" s="3">
        <f t="shared" si="40"/>
        <v>285</v>
      </c>
      <c r="B286" s="6">
        <f t="shared" si="49"/>
        <v>14574410.173376508</v>
      </c>
      <c r="C286" s="9">
        <f t="shared" si="45"/>
        <v>184986.66302637503</v>
      </c>
      <c r="D286" s="9">
        <f t="shared" si="46"/>
        <v>174365.991431284</v>
      </c>
      <c r="E286" s="9">
        <f t="shared" si="41"/>
        <v>10620.671595091033</v>
      </c>
      <c r="F286" s="9" t="b">
        <v>0</v>
      </c>
      <c r="G286" s="24" t="str">
        <f t="shared" si="47"/>
        <v/>
      </c>
      <c r="H286" s="9"/>
      <c r="M286" s="9">
        <f t="shared" si="42"/>
        <v>210802.01686472524</v>
      </c>
      <c r="N286" s="9">
        <f t="shared" si="43"/>
        <v>174365.991431284</v>
      </c>
      <c r="O286" s="9">
        <f t="shared" si="44"/>
        <v>10620.671595091033</v>
      </c>
      <c r="P286" s="6">
        <f t="shared" si="48"/>
        <v>14574410.173376508</v>
      </c>
    </row>
    <row r="287" spans="1:16" x14ac:dyDescent="0.2">
      <c r="A287" s="3">
        <f t="shared" si="40"/>
        <v>286</v>
      </c>
      <c r="B287" s="6">
        <f t="shared" si="49"/>
        <v>14400044.181945223</v>
      </c>
      <c r="C287" s="9">
        <f t="shared" si="45"/>
        <v>185169.97003196093</v>
      </c>
      <c r="D287" s="9">
        <f t="shared" si="46"/>
        <v>174801.90640986219</v>
      </c>
      <c r="E287" s="9">
        <f t="shared" si="41"/>
        <v>10368.063622098722</v>
      </c>
      <c r="F287" s="9" t="b">
        <v>0</v>
      </c>
      <c r="G287" s="24" t="str">
        <f t="shared" si="47"/>
        <v/>
      </c>
      <c r="H287" s="9"/>
      <c r="M287" s="9">
        <f t="shared" si="42"/>
        <v>210802.01686472524</v>
      </c>
      <c r="N287" s="9">
        <f t="shared" si="43"/>
        <v>174801.90640986219</v>
      </c>
      <c r="O287" s="9">
        <f t="shared" si="44"/>
        <v>10368.063622098722</v>
      </c>
      <c r="P287" s="6">
        <f t="shared" si="48"/>
        <v>14400044.181945223</v>
      </c>
    </row>
    <row r="288" spans="1:16" x14ac:dyDescent="0.2">
      <c r="A288" s="3">
        <f t="shared" si="40"/>
        <v>287</v>
      </c>
      <c r="B288" s="6">
        <f t="shared" si="49"/>
        <v>14225242.275535362</v>
      </c>
      <c r="C288" s="9">
        <f t="shared" si="45"/>
        <v>185356.78706577077</v>
      </c>
      <c r="D288" s="9">
        <f t="shared" si="46"/>
        <v>175238.91117588684</v>
      </c>
      <c r="E288" s="9">
        <f t="shared" si="41"/>
        <v>10117.875889883922</v>
      </c>
      <c r="F288" s="9" t="b">
        <v>0</v>
      </c>
      <c r="G288" s="24" t="str">
        <f t="shared" si="47"/>
        <v/>
      </c>
      <c r="H288" s="9"/>
      <c r="M288" s="9">
        <f t="shared" si="42"/>
        <v>210802.01686472524</v>
      </c>
      <c r="N288" s="9">
        <f t="shared" si="43"/>
        <v>175238.91117588684</v>
      </c>
      <c r="O288" s="9">
        <f t="shared" si="44"/>
        <v>10117.875889883922</v>
      </c>
      <c r="P288" s="6">
        <f t="shared" si="48"/>
        <v>14225242.275535362</v>
      </c>
    </row>
    <row r="289" spans="1:16" x14ac:dyDescent="0.2">
      <c r="A289" s="3">
        <f t="shared" si="40"/>
        <v>288</v>
      </c>
      <c r="B289" s="6">
        <f t="shared" si="49"/>
        <v>14050003.364359476</v>
      </c>
      <c r="C289" s="9">
        <f t="shared" si="45"/>
        <v>185547.13818075217</v>
      </c>
      <c r="D289" s="9">
        <f t="shared" si="46"/>
        <v>175677.00845382654</v>
      </c>
      <c r="E289" s="9">
        <f t="shared" si="41"/>
        <v>9870.1297269256283</v>
      </c>
      <c r="F289" s="9" t="b">
        <v>0</v>
      </c>
      <c r="G289" s="24" t="str">
        <f t="shared" si="47"/>
        <v/>
      </c>
      <c r="H289" s="9"/>
      <c r="M289" s="9">
        <f t="shared" si="42"/>
        <v>210802.01686472524</v>
      </c>
      <c r="N289" s="9">
        <f t="shared" si="43"/>
        <v>175677.00845382654</v>
      </c>
      <c r="O289" s="9">
        <f t="shared" si="44"/>
        <v>9870.1297269256283</v>
      </c>
      <c r="P289" s="6">
        <f t="shared" si="48"/>
        <v>14050003.364359476</v>
      </c>
    </row>
    <row r="290" spans="1:16" x14ac:dyDescent="0.2">
      <c r="A290" s="3">
        <f t="shared" si="40"/>
        <v>289</v>
      </c>
      <c r="B290" s="6">
        <f t="shared" si="49"/>
        <v>13874326.355905648</v>
      </c>
      <c r="C290" s="9">
        <f t="shared" si="45"/>
        <v>185741.04756646999</v>
      </c>
      <c r="D290" s="9">
        <f t="shared" si="46"/>
        <v>176116.2009749611</v>
      </c>
      <c r="E290" s="9">
        <f t="shared" si="41"/>
        <v>9624.8465915089037</v>
      </c>
      <c r="F290" s="9" t="b">
        <v>0</v>
      </c>
      <c r="G290" s="24" t="str">
        <f t="shared" si="47"/>
        <v/>
      </c>
      <c r="H290" s="9"/>
      <c r="M290" s="9">
        <f t="shared" si="42"/>
        <v>210802.01686472524</v>
      </c>
      <c r="N290" s="9">
        <f t="shared" si="43"/>
        <v>176116.2009749611</v>
      </c>
      <c r="O290" s="9">
        <f t="shared" si="44"/>
        <v>9624.8465915089037</v>
      </c>
      <c r="P290" s="6">
        <f t="shared" si="48"/>
        <v>13874326.355905648</v>
      </c>
    </row>
    <row r="291" spans="1:16" x14ac:dyDescent="0.2">
      <c r="A291" s="3">
        <f t="shared" si="40"/>
        <v>290</v>
      </c>
      <c r="B291" s="6">
        <f t="shared" si="49"/>
        <v>13698210.154930687</v>
      </c>
      <c r="C291" s="9">
        <f t="shared" si="45"/>
        <v>185938.53954983086</v>
      </c>
      <c r="D291" s="9">
        <f t="shared" si="46"/>
        <v>176556.49147739855</v>
      </c>
      <c r="E291" s="9">
        <f t="shared" si="41"/>
        <v>9382.0480724323097</v>
      </c>
      <c r="F291" s="9" t="b">
        <v>0</v>
      </c>
      <c r="G291" s="24" t="str">
        <f t="shared" si="47"/>
        <v/>
      </c>
      <c r="H291" s="9"/>
      <c r="M291" s="9">
        <f t="shared" si="42"/>
        <v>210802.01686472524</v>
      </c>
      <c r="N291" s="9">
        <f t="shared" si="43"/>
        <v>176556.49147739855</v>
      </c>
      <c r="O291" s="9">
        <f t="shared" si="44"/>
        <v>9382.0480724323097</v>
      </c>
      <c r="P291" s="6">
        <f t="shared" si="48"/>
        <v>13698210.154930687</v>
      </c>
    </row>
    <row r="292" spans="1:16" x14ac:dyDescent="0.2">
      <c r="A292" s="3">
        <f t="shared" si="40"/>
        <v>291</v>
      </c>
      <c r="B292" s="6">
        <f t="shared" si="49"/>
        <v>13521653.663453288</v>
      </c>
      <c r="C292" s="9">
        <f t="shared" si="45"/>
        <v>186139.63859581103</v>
      </c>
      <c r="D292" s="9">
        <f t="shared" si="46"/>
        <v>176997.88270609203</v>
      </c>
      <c r="E292" s="9">
        <f t="shared" si="41"/>
        <v>9141.7558897189883</v>
      </c>
      <c r="F292" s="9" t="b">
        <v>0</v>
      </c>
      <c r="G292" s="24" t="str">
        <f t="shared" si="47"/>
        <v/>
      </c>
      <c r="H292" s="9"/>
      <c r="M292" s="9">
        <f t="shared" si="42"/>
        <v>210802.01686472524</v>
      </c>
      <c r="N292" s="9">
        <f t="shared" si="43"/>
        <v>176997.88270609203</v>
      </c>
      <c r="O292" s="9">
        <f t="shared" si="44"/>
        <v>9141.7558897189883</v>
      </c>
      <c r="P292" s="6">
        <f t="shared" si="48"/>
        <v>13521653.663453288</v>
      </c>
    </row>
    <row r="293" spans="1:16" x14ac:dyDescent="0.2">
      <c r="A293" s="3">
        <f t="shared" si="40"/>
        <v>292</v>
      </c>
      <c r="B293" s="6">
        <f t="shared" si="49"/>
        <v>13344655.780747196</v>
      </c>
      <c r="C293" s="9">
        <f t="shared" si="45"/>
        <v>186344.3693081887</v>
      </c>
      <c r="D293" s="9">
        <f t="shared" si="46"/>
        <v>177440.37741285723</v>
      </c>
      <c r="E293" s="9">
        <f t="shared" si="41"/>
        <v>8903.9918953314791</v>
      </c>
      <c r="F293" s="9" t="b">
        <v>0</v>
      </c>
      <c r="G293" s="24" t="str">
        <f t="shared" si="47"/>
        <v/>
      </c>
      <c r="H293" s="9"/>
      <c r="M293" s="9">
        <f t="shared" si="42"/>
        <v>210802.01686472524</v>
      </c>
      <c r="N293" s="9">
        <f t="shared" si="43"/>
        <v>177440.37741285723</v>
      </c>
      <c r="O293" s="9">
        <f t="shared" si="44"/>
        <v>8903.9918953314791</v>
      </c>
      <c r="P293" s="6">
        <f t="shared" si="48"/>
        <v>13344655.780747196</v>
      </c>
    </row>
    <row r="294" spans="1:16" x14ac:dyDescent="0.2">
      <c r="A294" s="3">
        <f t="shared" si="40"/>
        <v>293</v>
      </c>
      <c r="B294" s="6">
        <f t="shared" si="49"/>
        <v>13167215.403334338</v>
      </c>
      <c r="C294" s="9">
        <f t="shared" si="45"/>
        <v>186552.75643027967</v>
      </c>
      <c r="D294" s="9">
        <f t="shared" si="46"/>
        <v>177883.97835638942</v>
      </c>
      <c r="E294" s="9">
        <f t="shared" si="41"/>
        <v>8668.7780738902547</v>
      </c>
      <c r="F294" s="9" t="b">
        <v>0</v>
      </c>
      <c r="G294" s="24" t="str">
        <f t="shared" si="47"/>
        <v/>
      </c>
      <c r="H294" s="9"/>
      <c r="M294" s="9">
        <f t="shared" si="42"/>
        <v>210802.01686472524</v>
      </c>
      <c r="N294" s="9">
        <f t="shared" si="43"/>
        <v>177883.97835638942</v>
      </c>
      <c r="O294" s="9">
        <f t="shared" si="44"/>
        <v>8668.7780738902547</v>
      </c>
      <c r="P294" s="6">
        <f t="shared" si="48"/>
        <v>13167215.403334338</v>
      </c>
    </row>
    <row r="295" spans="1:16" x14ac:dyDescent="0.2">
      <c r="A295" s="3">
        <f t="shared" si="40"/>
        <v>294</v>
      </c>
      <c r="B295" s="6">
        <f t="shared" si="49"/>
        <v>12989331.424977949</v>
      </c>
      <c r="C295" s="9">
        <f t="shared" si="45"/>
        <v>186764.82484567634</v>
      </c>
      <c r="D295" s="9">
        <f t="shared" si="46"/>
        <v>178328.68830228035</v>
      </c>
      <c r="E295" s="9">
        <f t="shared" si="41"/>
        <v>8436.1365433959854</v>
      </c>
      <c r="F295" s="9" t="b">
        <v>0</v>
      </c>
      <c r="G295" s="24" t="str">
        <f t="shared" si="47"/>
        <v/>
      </c>
      <c r="H295" s="9"/>
      <c r="M295" s="9">
        <f t="shared" si="42"/>
        <v>210802.01686472524</v>
      </c>
      <c r="N295" s="9">
        <f t="shared" si="43"/>
        <v>178328.68830228035</v>
      </c>
      <c r="O295" s="9">
        <f t="shared" si="44"/>
        <v>8436.1365433959854</v>
      </c>
      <c r="P295" s="6">
        <f t="shared" si="48"/>
        <v>12989331.424977949</v>
      </c>
    </row>
    <row r="296" spans="1:16" x14ac:dyDescent="0.2">
      <c r="A296" s="3">
        <f t="shared" si="40"/>
        <v>295</v>
      </c>
      <c r="B296" s="6">
        <f t="shared" si="49"/>
        <v>12811002.736675669</v>
      </c>
      <c r="C296" s="9">
        <f t="shared" si="45"/>
        <v>186980.59957899165</v>
      </c>
      <c r="D296" s="9">
        <f t="shared" si="46"/>
        <v>178774.51002303607</v>
      </c>
      <c r="E296" s="9">
        <f t="shared" si="41"/>
        <v>8206.0895559555738</v>
      </c>
      <c r="F296" s="9" t="b">
        <v>0</v>
      </c>
      <c r="G296" s="24" t="str">
        <f t="shared" si="47"/>
        <v/>
      </c>
      <c r="H296" s="9"/>
      <c r="M296" s="9">
        <f t="shared" si="42"/>
        <v>210802.01686472524</v>
      </c>
      <c r="N296" s="9">
        <f t="shared" si="43"/>
        <v>178774.51002303607</v>
      </c>
      <c r="O296" s="9">
        <f t="shared" si="44"/>
        <v>8206.0895559555738</v>
      </c>
      <c r="P296" s="6">
        <f t="shared" si="48"/>
        <v>12811002.736675669</v>
      </c>
    </row>
    <row r="297" spans="1:16" x14ac:dyDescent="0.2">
      <c r="A297" s="3">
        <f t="shared" si="40"/>
        <v>296</v>
      </c>
      <c r="B297" s="6">
        <f t="shared" si="49"/>
        <v>12632228.226652632</v>
      </c>
      <c r="C297" s="9">
        <f t="shared" si="45"/>
        <v>187200.10579660564</v>
      </c>
      <c r="D297" s="9">
        <f t="shared" si="46"/>
        <v>179221.44629809365</v>
      </c>
      <c r="E297" s="9">
        <f t="shared" si="41"/>
        <v>7978.6594985119755</v>
      </c>
      <c r="F297" s="9" t="b">
        <v>0</v>
      </c>
      <c r="G297" s="24" t="str">
        <f t="shared" si="47"/>
        <v/>
      </c>
      <c r="H297" s="9"/>
      <c r="M297" s="9">
        <f t="shared" si="42"/>
        <v>210802.01686472524</v>
      </c>
      <c r="N297" s="9">
        <f t="shared" si="43"/>
        <v>179221.44629809365</v>
      </c>
      <c r="O297" s="9">
        <f t="shared" si="44"/>
        <v>7978.6594985119755</v>
      </c>
      <c r="P297" s="6">
        <f t="shared" si="48"/>
        <v>12632228.226652632</v>
      </c>
    </row>
    <row r="298" spans="1:16" x14ac:dyDescent="0.2">
      <c r="A298" s="3">
        <f t="shared" si="40"/>
        <v>297</v>
      </c>
      <c r="B298" s="6">
        <f t="shared" si="49"/>
        <v>12453006.780354537</v>
      </c>
      <c r="C298" s="9">
        <f t="shared" si="45"/>
        <v>187423.36880741673</v>
      </c>
      <c r="D298" s="9">
        <f t="shared" si="46"/>
        <v>179669.49991383892</v>
      </c>
      <c r="E298" s="9">
        <f t="shared" si="41"/>
        <v>7753.8688935778055</v>
      </c>
      <c r="F298" s="9" t="b">
        <v>0</v>
      </c>
      <c r="G298" s="24" t="str">
        <f t="shared" si="47"/>
        <v/>
      </c>
      <c r="H298" s="9"/>
      <c r="M298" s="9">
        <f t="shared" si="42"/>
        <v>210802.01686472524</v>
      </c>
      <c r="N298" s="9">
        <f t="shared" si="43"/>
        <v>179669.49991383892</v>
      </c>
      <c r="O298" s="9">
        <f t="shared" si="44"/>
        <v>7753.8688935778055</v>
      </c>
      <c r="P298" s="6">
        <f t="shared" si="48"/>
        <v>12453006.780354537</v>
      </c>
    </row>
    <row r="299" spans="1:16" x14ac:dyDescent="0.2">
      <c r="A299" s="3">
        <f t="shared" si="40"/>
        <v>298</v>
      </c>
      <c r="B299" s="6">
        <f t="shared" si="49"/>
        <v>12273337.280440697</v>
      </c>
      <c r="C299" s="9">
        <f t="shared" si="45"/>
        <v>187650.41406359625</v>
      </c>
      <c r="D299" s="9">
        <f t="shared" si="46"/>
        <v>180118.67366362349</v>
      </c>
      <c r="E299" s="9">
        <f t="shared" si="41"/>
        <v>7531.740399972773</v>
      </c>
      <c r="F299" s="9" t="b">
        <v>0</v>
      </c>
      <c r="G299" s="24" t="str">
        <f t="shared" si="47"/>
        <v/>
      </c>
      <c r="H299" s="9"/>
      <c r="M299" s="9">
        <f t="shared" si="42"/>
        <v>210802.01686472524</v>
      </c>
      <c r="N299" s="9">
        <f t="shared" si="43"/>
        <v>180118.67366362349</v>
      </c>
      <c r="O299" s="9">
        <f t="shared" si="44"/>
        <v>7531.740399972773</v>
      </c>
      <c r="P299" s="6">
        <f t="shared" si="48"/>
        <v>12273337.280440697</v>
      </c>
    </row>
    <row r="300" spans="1:16" x14ac:dyDescent="0.2">
      <c r="A300" s="3">
        <f t="shared" si="40"/>
        <v>299</v>
      </c>
      <c r="B300" s="6">
        <f t="shared" si="49"/>
        <v>12093218.606777074</v>
      </c>
      <c r="C300" s="9">
        <f t="shared" si="45"/>
        <v>187881.26716134752</v>
      </c>
      <c r="D300" s="9">
        <f t="shared" si="46"/>
        <v>180568.97034778257</v>
      </c>
      <c r="E300" s="9">
        <f t="shared" si="41"/>
        <v>7312.2968135649644</v>
      </c>
      <c r="F300" s="9" t="b">
        <v>0</v>
      </c>
      <c r="G300" s="24" t="str">
        <f t="shared" si="47"/>
        <v/>
      </c>
      <c r="H300" s="9"/>
      <c r="M300" s="9">
        <f t="shared" si="42"/>
        <v>210802.01686472524</v>
      </c>
      <c r="N300" s="9">
        <f t="shared" si="43"/>
        <v>180568.97034778257</v>
      </c>
      <c r="O300" s="9">
        <f t="shared" si="44"/>
        <v>7312.2968135649644</v>
      </c>
      <c r="P300" s="6">
        <f t="shared" si="48"/>
        <v>12093218.606777074</v>
      </c>
    </row>
    <row r="301" spans="1:16" x14ac:dyDescent="0.2">
      <c r="A301" s="3">
        <f t="shared" si="40"/>
        <v>300</v>
      </c>
      <c r="B301" s="6">
        <f t="shared" si="49"/>
        <v>11912649.636429291</v>
      </c>
      <c r="C301" s="9">
        <f t="shared" si="45"/>
        <v>188115.95384166797</v>
      </c>
      <c r="D301" s="9">
        <f t="shared" si="46"/>
        <v>181020.39277365201</v>
      </c>
      <c r="E301" s="9">
        <f t="shared" si="41"/>
        <v>7095.5610680159489</v>
      </c>
      <c r="F301" s="9" t="b">
        <v>0</v>
      </c>
      <c r="G301" s="24" t="str">
        <f t="shared" si="47"/>
        <v/>
      </c>
      <c r="H301" s="9"/>
      <c r="M301" s="9">
        <f t="shared" si="42"/>
        <v>210802.01686472524</v>
      </c>
      <c r="N301" s="9">
        <f t="shared" si="43"/>
        <v>181020.39277365201</v>
      </c>
      <c r="O301" s="9">
        <f t="shared" si="44"/>
        <v>7095.5610680159489</v>
      </c>
      <c r="P301" s="6">
        <f t="shared" si="48"/>
        <v>11912649.636429291</v>
      </c>
    </row>
    <row r="302" spans="1:16" x14ac:dyDescent="0.2">
      <c r="A302" s="3">
        <f t="shared" si="40"/>
        <v>301</v>
      </c>
      <c r="B302" s="6">
        <f t="shared" si="49"/>
        <v>11731629.243655639</v>
      </c>
      <c r="C302" s="9">
        <f t="shared" si="45"/>
        <v>188354.49999111594</v>
      </c>
      <c r="D302" s="9">
        <f t="shared" si="46"/>
        <v>181472.94375558614</v>
      </c>
      <c r="E302" s="9">
        <f t="shared" si="41"/>
        <v>6881.5562355298107</v>
      </c>
      <c r="F302" s="9" t="b">
        <v>0</v>
      </c>
      <c r="G302" s="24" t="str">
        <f t="shared" si="47"/>
        <v/>
      </c>
      <c r="H302" s="9"/>
      <c r="M302" s="9">
        <f t="shared" si="42"/>
        <v>210802.01686472524</v>
      </c>
      <c r="N302" s="9">
        <f t="shared" si="43"/>
        <v>181472.94375558614</v>
      </c>
      <c r="O302" s="9">
        <f t="shared" si="44"/>
        <v>6881.5562355298107</v>
      </c>
      <c r="P302" s="6">
        <f t="shared" si="48"/>
        <v>11731629.243655639</v>
      </c>
    </row>
    <row r="303" spans="1:16" x14ac:dyDescent="0.2">
      <c r="A303" s="3">
        <f t="shared" si="40"/>
        <v>302</v>
      </c>
      <c r="B303" s="6">
        <f t="shared" si="49"/>
        <v>11550156.299900053</v>
      </c>
      <c r="C303" s="9">
        <f t="shared" si="45"/>
        <v>188596.93164258116</v>
      </c>
      <c r="D303" s="9">
        <f t="shared" si="46"/>
        <v>181926.62611497511</v>
      </c>
      <c r="E303" s="9">
        <f t="shared" si="41"/>
        <v>6670.3055276060468</v>
      </c>
      <c r="F303" s="9" t="b">
        <v>0</v>
      </c>
      <c r="G303" s="24" t="str">
        <f t="shared" si="47"/>
        <v/>
      </c>
      <c r="H303" s="9"/>
      <c r="M303" s="9">
        <f t="shared" si="42"/>
        <v>210802.01686472524</v>
      </c>
      <c r="N303" s="9">
        <f t="shared" si="43"/>
        <v>181926.62611497511</v>
      </c>
      <c r="O303" s="9">
        <f t="shared" si="44"/>
        <v>6670.3055276060468</v>
      </c>
      <c r="P303" s="6">
        <f t="shared" si="48"/>
        <v>11550156.299900053</v>
      </c>
    </row>
    <row r="304" spans="1:16" x14ac:dyDescent="0.2">
      <c r="A304" s="3">
        <f t="shared" si="40"/>
        <v>303</v>
      </c>
      <c r="B304" s="6">
        <f t="shared" si="49"/>
        <v>11368229.673785077</v>
      </c>
      <c r="C304" s="9">
        <f t="shared" si="45"/>
        <v>188843.27497605892</v>
      </c>
      <c r="D304" s="9">
        <f t="shared" si="46"/>
        <v>182381.44268026255</v>
      </c>
      <c r="E304" s="9">
        <f t="shared" si="41"/>
        <v>6461.832295796381</v>
      </c>
      <c r="F304" s="9" t="b">
        <v>0</v>
      </c>
      <c r="G304" s="24" t="str">
        <f t="shared" si="47"/>
        <v/>
      </c>
      <c r="H304" s="9"/>
      <c r="M304" s="9">
        <f t="shared" si="42"/>
        <v>210802.01686472524</v>
      </c>
      <c r="N304" s="9">
        <f t="shared" si="43"/>
        <v>182381.44268026255</v>
      </c>
      <c r="O304" s="9">
        <f t="shared" si="44"/>
        <v>6461.832295796381</v>
      </c>
      <c r="P304" s="6">
        <f t="shared" si="48"/>
        <v>11368229.673785077</v>
      </c>
    </row>
    <row r="305" spans="1:16" x14ac:dyDescent="0.2">
      <c r="A305" s="3">
        <f t="shared" si="40"/>
        <v>304</v>
      </c>
      <c r="B305" s="6">
        <f t="shared" si="49"/>
        <v>11185848.231104815</v>
      </c>
      <c r="C305" s="9">
        <f t="shared" si="45"/>
        <v>189093.55631942872</v>
      </c>
      <c r="D305" s="9">
        <f t="shared" si="46"/>
        <v>182837.39628696319</v>
      </c>
      <c r="E305" s="9">
        <f t="shared" si="41"/>
        <v>6256.1600324655383</v>
      </c>
      <c r="F305" s="9" t="b">
        <v>0</v>
      </c>
      <c r="G305" s="24" t="str">
        <f t="shared" si="47"/>
        <v/>
      </c>
      <c r="H305" s="9"/>
      <c r="M305" s="9">
        <f t="shared" si="42"/>
        <v>210802.01686472524</v>
      </c>
      <c r="N305" s="9">
        <f t="shared" si="43"/>
        <v>182837.39628696319</v>
      </c>
      <c r="O305" s="9">
        <f t="shared" si="44"/>
        <v>6256.1600324655383</v>
      </c>
      <c r="P305" s="6">
        <f t="shared" si="48"/>
        <v>11185848.231104815</v>
      </c>
    </row>
    <row r="306" spans="1:16" x14ac:dyDescent="0.2">
      <c r="A306" s="3">
        <f t="shared" si="40"/>
        <v>305</v>
      </c>
      <c r="B306" s="6">
        <f t="shared" si="49"/>
        <v>11003010.834817853</v>
      </c>
      <c r="C306" s="9">
        <f t="shared" si="45"/>
        <v>189347.80214923655</v>
      </c>
      <c r="D306" s="9">
        <f t="shared" si="46"/>
        <v>183294.4897776806</v>
      </c>
      <c r="E306" s="9">
        <f t="shared" si="41"/>
        <v>6053.312371555955</v>
      </c>
      <c r="F306" s="9" t="b">
        <v>0</v>
      </c>
      <c r="G306" s="24" t="str">
        <f t="shared" si="47"/>
        <v/>
      </c>
      <c r="H306" s="9"/>
      <c r="M306" s="9">
        <f t="shared" si="42"/>
        <v>210802.01686472524</v>
      </c>
      <c r="N306" s="9">
        <f t="shared" si="43"/>
        <v>183294.4897776806</v>
      </c>
      <c r="O306" s="9">
        <f t="shared" si="44"/>
        <v>6053.312371555955</v>
      </c>
      <c r="P306" s="6">
        <f t="shared" si="48"/>
        <v>11003010.834817853</v>
      </c>
    </row>
    <row r="307" spans="1:16" x14ac:dyDescent="0.2">
      <c r="A307" s="3">
        <f t="shared" si="40"/>
        <v>306</v>
      </c>
      <c r="B307" s="6">
        <f t="shared" si="49"/>
        <v>10819716.345040172</v>
      </c>
      <c r="C307" s="9">
        <f t="shared" si="45"/>
        <v>189606.03909148127</v>
      </c>
      <c r="D307" s="9">
        <f t="shared" si="46"/>
        <v>183752.72600212481</v>
      </c>
      <c r="E307" s="9">
        <f t="shared" si="41"/>
        <v>5853.3130893564739</v>
      </c>
      <c r="F307" s="9" t="b">
        <v>0</v>
      </c>
      <c r="G307" s="24" t="str">
        <f t="shared" si="47"/>
        <v/>
      </c>
      <c r="H307" s="9"/>
      <c r="M307" s="9">
        <f t="shared" si="42"/>
        <v>210802.01686472524</v>
      </c>
      <c r="N307" s="9">
        <f t="shared" si="43"/>
        <v>183752.72600212481</v>
      </c>
      <c r="O307" s="9">
        <f t="shared" si="44"/>
        <v>5853.3130893564739</v>
      </c>
      <c r="P307" s="6">
        <f t="shared" si="48"/>
        <v>10819716.345040172</v>
      </c>
    </row>
    <row r="308" spans="1:16" x14ac:dyDescent="0.2">
      <c r="A308" s="3">
        <f t="shared" si="40"/>
        <v>307</v>
      </c>
      <c r="B308" s="6">
        <f t="shared" si="49"/>
        <v>10635963.619038047</v>
      </c>
      <c r="C308" s="9">
        <f t="shared" si="45"/>
        <v>189868.2939224052</v>
      </c>
      <c r="D308" s="9">
        <f t="shared" si="46"/>
        <v>184212.10781713013</v>
      </c>
      <c r="E308" s="9">
        <f t="shared" si="41"/>
        <v>5656.1861052750482</v>
      </c>
      <c r="F308" s="9" t="b">
        <v>0</v>
      </c>
      <c r="G308" s="24" t="str">
        <f t="shared" si="47"/>
        <v/>
      </c>
      <c r="H308" s="9"/>
      <c r="M308" s="9">
        <f t="shared" si="42"/>
        <v>210802.01686472524</v>
      </c>
      <c r="N308" s="9">
        <f t="shared" si="43"/>
        <v>184212.10781713013</v>
      </c>
      <c r="O308" s="9">
        <f t="shared" si="44"/>
        <v>5656.1861052750482</v>
      </c>
      <c r="P308" s="6">
        <f t="shared" si="48"/>
        <v>10635963.619038047</v>
      </c>
    </row>
    <row r="309" spans="1:16" x14ac:dyDescent="0.2">
      <c r="A309" s="3">
        <f t="shared" si="40"/>
        <v>308</v>
      </c>
      <c r="B309" s="6">
        <f t="shared" si="49"/>
        <v>10451751.511220917</v>
      </c>
      <c r="C309" s="9">
        <f t="shared" si="45"/>
        <v>190134.59356928841</v>
      </c>
      <c r="D309" s="9">
        <f t="shared" si="46"/>
        <v>184672.63808667296</v>
      </c>
      <c r="E309" s="9">
        <f t="shared" si="41"/>
        <v>5461.955482615439</v>
      </c>
      <c r="F309" s="9" t="b">
        <v>0</v>
      </c>
      <c r="G309" s="24" t="str">
        <f t="shared" si="47"/>
        <v/>
      </c>
      <c r="H309" s="9"/>
      <c r="M309" s="9">
        <f t="shared" si="42"/>
        <v>210802.01686472524</v>
      </c>
      <c r="N309" s="9">
        <f t="shared" si="43"/>
        <v>184672.63808667296</v>
      </c>
      <c r="O309" s="9">
        <f t="shared" si="44"/>
        <v>5461.955482615439</v>
      </c>
      <c r="P309" s="6">
        <f t="shared" si="48"/>
        <v>10451751.511220917</v>
      </c>
    </row>
    <row r="310" spans="1:16" x14ac:dyDescent="0.2">
      <c r="A310" s="3">
        <f t="shared" si="40"/>
        <v>309</v>
      </c>
      <c r="B310" s="6">
        <f t="shared" si="49"/>
        <v>10267078.873134244</v>
      </c>
      <c r="C310" s="9">
        <f t="shared" si="45"/>
        <v>190404.96511124761</v>
      </c>
      <c r="D310" s="9">
        <f t="shared" si="46"/>
        <v>185134.31968188964</v>
      </c>
      <c r="E310" s="9">
        <f t="shared" si="41"/>
        <v>5270.6454293579782</v>
      </c>
      <c r="F310" s="9" t="b">
        <v>0</v>
      </c>
      <c r="G310" s="24" t="str">
        <f t="shared" si="47"/>
        <v/>
      </c>
      <c r="H310" s="9"/>
      <c r="M310" s="9">
        <f t="shared" si="42"/>
        <v>210802.01686472524</v>
      </c>
      <c r="N310" s="9">
        <f t="shared" si="43"/>
        <v>185134.31968188964</v>
      </c>
      <c r="O310" s="9">
        <f t="shared" si="44"/>
        <v>5270.6454293579782</v>
      </c>
      <c r="P310" s="6">
        <f t="shared" si="48"/>
        <v>10267078.873134244</v>
      </c>
    </row>
    <row r="311" spans="1:16" x14ac:dyDescent="0.2">
      <c r="A311" s="3">
        <f t="shared" si="40"/>
        <v>310</v>
      </c>
      <c r="B311" s="6">
        <f t="shared" si="49"/>
        <v>10081944.553452354</v>
      </c>
      <c r="C311" s="9">
        <f t="shared" si="45"/>
        <v>190679.43578003874</v>
      </c>
      <c r="D311" s="9">
        <f t="shared" si="46"/>
        <v>185597.15548109435</v>
      </c>
      <c r="E311" s="9">
        <f t="shared" si="41"/>
        <v>5082.2802989443808</v>
      </c>
      <c r="F311" s="9" t="b">
        <v>0</v>
      </c>
      <c r="G311" s="24" t="str">
        <f t="shared" si="47"/>
        <v/>
      </c>
      <c r="H311" s="9"/>
      <c r="M311" s="9">
        <f t="shared" si="42"/>
        <v>210802.01686472524</v>
      </c>
      <c r="N311" s="9">
        <f t="shared" si="43"/>
        <v>185597.15548109435</v>
      </c>
      <c r="O311" s="9">
        <f t="shared" si="44"/>
        <v>5082.2802989443808</v>
      </c>
      <c r="P311" s="6">
        <f t="shared" si="48"/>
        <v>10081944.553452354</v>
      </c>
    </row>
    <row r="312" spans="1:16" x14ac:dyDescent="0.2">
      <c r="A312" s="3">
        <f t="shared" si="40"/>
        <v>311</v>
      </c>
      <c r="B312" s="6">
        <f t="shared" si="49"/>
        <v>9896347.3979712594</v>
      </c>
      <c r="C312" s="9">
        <f t="shared" si="45"/>
        <v>190958.0329608637</v>
      </c>
      <c r="D312" s="9">
        <f t="shared" si="46"/>
        <v>186061.14836979707</v>
      </c>
      <c r="E312" s="9">
        <f t="shared" si="41"/>
        <v>4896.8845910666278</v>
      </c>
      <c r="F312" s="9" t="b">
        <v>0</v>
      </c>
      <c r="G312" s="24" t="str">
        <f t="shared" si="47"/>
        <v/>
      </c>
      <c r="H312" s="9"/>
      <c r="M312" s="9">
        <f t="shared" si="42"/>
        <v>210802.01686472524</v>
      </c>
      <c r="N312" s="9">
        <f t="shared" si="43"/>
        <v>186061.14836979707</v>
      </c>
      <c r="O312" s="9">
        <f t="shared" si="44"/>
        <v>4896.8845910666278</v>
      </c>
      <c r="P312" s="6">
        <f t="shared" si="48"/>
        <v>9896347.3979712594</v>
      </c>
    </row>
    <row r="313" spans="1:16" x14ac:dyDescent="0.2">
      <c r="A313" s="3">
        <f t="shared" si="40"/>
        <v>312</v>
      </c>
      <c r="B313" s="6">
        <f t="shared" si="49"/>
        <v>9710286.2496014629</v>
      </c>
      <c r="C313" s="9">
        <f t="shared" si="45"/>
        <v>191240.78419318155</v>
      </c>
      <c r="D313" s="9">
        <f t="shared" si="46"/>
        <v>186526.30124072157</v>
      </c>
      <c r="E313" s="9">
        <f t="shared" si="41"/>
        <v>4714.4829524599636</v>
      </c>
      <c r="F313" s="9" t="b">
        <v>0</v>
      </c>
      <c r="G313" s="24" t="str">
        <f t="shared" si="47"/>
        <v/>
      </c>
      <c r="H313" s="9"/>
      <c r="M313" s="9">
        <f t="shared" si="42"/>
        <v>210802.01686472524</v>
      </c>
      <c r="N313" s="9">
        <f t="shared" si="43"/>
        <v>186526.30124072157</v>
      </c>
      <c r="O313" s="9">
        <f t="shared" si="44"/>
        <v>4714.4829524599636</v>
      </c>
      <c r="P313" s="6">
        <f t="shared" si="48"/>
        <v>9710286.2496014629</v>
      </c>
    </row>
    <row r="314" spans="1:16" x14ac:dyDescent="0.2">
      <c r="A314" s="3">
        <f t="shared" si="40"/>
        <v>313</v>
      </c>
      <c r="B314" s="6">
        <f t="shared" si="49"/>
        <v>9523759.9483607411</v>
      </c>
      <c r="C314" s="9">
        <f t="shared" si="45"/>
        <v>191527.7171715234</v>
      </c>
      <c r="D314" s="9">
        <f t="shared" si="46"/>
        <v>186992.61699382338</v>
      </c>
      <c r="E314" s="9">
        <f t="shared" si="41"/>
        <v>4535.100177700011</v>
      </c>
      <c r="F314" s="9" t="b">
        <v>0</v>
      </c>
      <c r="G314" s="24" t="str">
        <f t="shared" si="47"/>
        <v/>
      </c>
      <c r="H314" s="9"/>
      <c r="M314" s="9">
        <f t="shared" si="42"/>
        <v>210802.01686472524</v>
      </c>
      <c r="N314" s="9">
        <f t="shared" si="43"/>
        <v>186992.61699382338</v>
      </c>
      <c r="O314" s="9">
        <f t="shared" si="44"/>
        <v>4535.100177700011</v>
      </c>
      <c r="P314" s="6">
        <f t="shared" si="48"/>
        <v>9523759.9483607411</v>
      </c>
    </row>
    <row r="315" spans="1:16" x14ac:dyDescent="0.2">
      <c r="A315" s="3">
        <f t="shared" si="40"/>
        <v>314</v>
      </c>
      <c r="B315" s="6">
        <f t="shared" si="49"/>
        <v>9336767.3313669171</v>
      </c>
      <c r="C315" s="9">
        <f t="shared" si="45"/>
        <v>191818.85974631194</v>
      </c>
      <c r="D315" s="9">
        <f t="shared" si="46"/>
        <v>187460.09853630792</v>
      </c>
      <c r="E315" s="9">
        <f t="shared" si="41"/>
        <v>4358.7612100040269</v>
      </c>
      <c r="F315" s="9" t="b">
        <v>0</v>
      </c>
      <c r="G315" s="24" t="str">
        <f t="shared" si="47"/>
        <v/>
      </c>
      <c r="H315" s="9"/>
      <c r="M315" s="9">
        <f t="shared" si="42"/>
        <v>210802.01686472524</v>
      </c>
      <c r="N315" s="9">
        <f t="shared" si="43"/>
        <v>187460.09853630792</v>
      </c>
      <c r="O315" s="9">
        <f t="shared" si="44"/>
        <v>4358.7612100040269</v>
      </c>
      <c r="P315" s="6">
        <f t="shared" si="48"/>
        <v>9336767.3313669171</v>
      </c>
    </row>
    <row r="316" spans="1:16" x14ac:dyDescent="0.2">
      <c r="A316" s="3">
        <f t="shared" si="40"/>
        <v>315</v>
      </c>
      <c r="B316" s="6">
        <f t="shared" si="49"/>
        <v>9149307.2328306101</v>
      </c>
      <c r="C316" s="9">
        <f t="shared" si="45"/>
        <v>192114.23992468504</v>
      </c>
      <c r="D316" s="9">
        <f t="shared" si="46"/>
        <v>187928.7487826487</v>
      </c>
      <c r="E316" s="9">
        <f t="shared" si="41"/>
        <v>4185.4911420363278</v>
      </c>
      <c r="F316" s="9" t="b">
        <v>0</v>
      </c>
      <c r="G316" s="24" t="str">
        <f t="shared" si="47"/>
        <v/>
      </c>
      <c r="H316" s="9"/>
      <c r="M316" s="9">
        <f t="shared" si="42"/>
        <v>210802.01686472524</v>
      </c>
      <c r="N316" s="9">
        <f t="shared" si="43"/>
        <v>187928.7487826487</v>
      </c>
      <c r="O316" s="9">
        <f t="shared" si="44"/>
        <v>4185.4911420363278</v>
      </c>
      <c r="P316" s="6">
        <f t="shared" si="48"/>
        <v>9149307.2328306101</v>
      </c>
    </row>
    <row r="317" spans="1:16" x14ac:dyDescent="0.2">
      <c r="A317" s="3">
        <f t="shared" si="40"/>
        <v>316</v>
      </c>
      <c r="B317" s="6">
        <f t="shared" si="49"/>
        <v>8961378.4840479605</v>
      </c>
      <c r="C317" s="9">
        <f t="shared" si="45"/>
        <v>192413.88587132323</v>
      </c>
      <c r="D317" s="9">
        <f t="shared" si="46"/>
        <v>188398.57065460534</v>
      </c>
      <c r="E317" s="9">
        <f t="shared" si="41"/>
        <v>4015.3152167178878</v>
      </c>
      <c r="F317" s="9" t="b">
        <v>0</v>
      </c>
      <c r="G317" s="24" t="str">
        <f t="shared" si="47"/>
        <v/>
      </c>
      <c r="H317" s="9"/>
      <c r="M317" s="9">
        <f t="shared" si="42"/>
        <v>210802.01686472524</v>
      </c>
      <c r="N317" s="9">
        <f t="shared" si="43"/>
        <v>188398.57065460534</v>
      </c>
      <c r="O317" s="9">
        <f t="shared" si="44"/>
        <v>4015.3152167178878</v>
      </c>
      <c r="P317" s="6">
        <f t="shared" si="48"/>
        <v>8961378.4840479605</v>
      </c>
    </row>
    <row r="318" spans="1:16" x14ac:dyDescent="0.2">
      <c r="A318" s="3">
        <f t="shared" si="40"/>
        <v>317</v>
      </c>
      <c r="B318" s="6">
        <f t="shared" si="49"/>
        <v>8772979.9133933559</v>
      </c>
      <c r="C318" s="9">
        <f t="shared" si="45"/>
        <v>192717.82590928202</v>
      </c>
      <c r="D318" s="9">
        <f t="shared" si="46"/>
        <v>188869.56708124187</v>
      </c>
      <c r="E318" s="9">
        <f t="shared" si="41"/>
        <v>3848.258828040166</v>
      </c>
      <c r="F318" s="9" t="b">
        <v>0</v>
      </c>
      <c r="G318" s="24" t="str">
        <f t="shared" si="47"/>
        <v/>
      </c>
      <c r="H318" s="9"/>
      <c r="M318" s="9">
        <f t="shared" si="42"/>
        <v>210802.01686472524</v>
      </c>
      <c r="N318" s="9">
        <f t="shared" si="43"/>
        <v>188869.56708124187</v>
      </c>
      <c r="O318" s="9">
        <f t="shared" si="44"/>
        <v>3848.258828040166</v>
      </c>
      <c r="P318" s="6">
        <f t="shared" si="48"/>
        <v>8772979.9133933559</v>
      </c>
    </row>
    <row r="319" spans="1:16" x14ac:dyDescent="0.2">
      <c r="A319" s="3">
        <f t="shared" si="40"/>
        <v>318</v>
      </c>
      <c r="B319" s="6">
        <f t="shared" si="49"/>
        <v>8584110.3463121131</v>
      </c>
      <c r="C319" s="9">
        <f t="shared" si="45"/>
        <v>193026.08852082808</v>
      </c>
      <c r="D319" s="9">
        <f t="shared" si="46"/>
        <v>189341.74099894494</v>
      </c>
      <c r="E319" s="9">
        <f t="shared" si="41"/>
        <v>3684.3475218831345</v>
      </c>
      <c r="F319" s="9" t="b">
        <v>0</v>
      </c>
      <c r="G319" s="24" t="str">
        <f t="shared" si="47"/>
        <v/>
      </c>
      <c r="H319" s="9"/>
      <c r="M319" s="9">
        <f t="shared" si="42"/>
        <v>210802.01686472524</v>
      </c>
      <c r="N319" s="9">
        <f t="shared" si="43"/>
        <v>189341.74099894494</v>
      </c>
      <c r="O319" s="9">
        <f t="shared" si="44"/>
        <v>3684.3475218831345</v>
      </c>
      <c r="P319" s="6">
        <f t="shared" si="48"/>
        <v>8584110.3463121131</v>
      </c>
    </row>
    <row r="320" spans="1:16" x14ac:dyDescent="0.2">
      <c r="A320" s="3">
        <f t="shared" si="40"/>
        <v>319</v>
      </c>
      <c r="B320" s="6">
        <f t="shared" si="49"/>
        <v>8394768.6053131688</v>
      </c>
      <c r="C320" s="9">
        <f t="shared" si="45"/>
        <v>193338.70234827988</v>
      </c>
      <c r="D320" s="9">
        <f t="shared" si="46"/>
        <v>189815.09535144229</v>
      </c>
      <c r="E320" s="9">
        <f t="shared" si="41"/>
        <v>3523.6069968375814</v>
      </c>
      <c r="F320" s="9" t="b">
        <v>0</v>
      </c>
      <c r="G320" s="24" t="str">
        <f t="shared" si="47"/>
        <v/>
      </c>
      <c r="H320" s="9"/>
      <c r="M320" s="9">
        <f t="shared" si="42"/>
        <v>210802.01686472524</v>
      </c>
      <c r="N320" s="9">
        <f t="shared" si="43"/>
        <v>189815.09535144229</v>
      </c>
      <c r="O320" s="9">
        <f t="shared" si="44"/>
        <v>3523.6069968375814</v>
      </c>
      <c r="P320" s="6">
        <f t="shared" si="48"/>
        <v>8394768.6053131688</v>
      </c>
    </row>
    <row r="321" spans="1:16" x14ac:dyDescent="0.2">
      <c r="A321" s="3">
        <f t="shared" si="40"/>
        <v>320</v>
      </c>
      <c r="B321" s="6">
        <f t="shared" si="49"/>
        <v>8204953.5099617261</v>
      </c>
      <c r="C321" s="9">
        <f t="shared" si="45"/>
        <v>193655.69619485262</v>
      </c>
      <c r="D321" s="9">
        <f t="shared" si="46"/>
        <v>190289.63308982094</v>
      </c>
      <c r="E321" s="9">
        <f t="shared" si="41"/>
        <v>3366.0631050316647</v>
      </c>
      <c r="F321" s="9" t="b">
        <v>0</v>
      </c>
      <c r="G321" s="24" t="str">
        <f t="shared" si="47"/>
        <v/>
      </c>
      <c r="H321" s="9"/>
      <c r="M321" s="9">
        <f t="shared" si="42"/>
        <v>210802.01686472524</v>
      </c>
      <c r="N321" s="9">
        <f t="shared" si="43"/>
        <v>190289.63308982094</v>
      </c>
      <c r="O321" s="9">
        <f t="shared" si="44"/>
        <v>3366.0631050316647</v>
      </c>
      <c r="P321" s="6">
        <f t="shared" si="48"/>
        <v>8204953.5099617261</v>
      </c>
    </row>
    <row r="322" spans="1:16" x14ac:dyDescent="0.2">
      <c r="A322" s="3">
        <f t="shared" ref="A322:A361" si="50">IF(ROW(A322)-1&gt;$I$4,"",ROW(A322)-1)</f>
        <v>321</v>
      </c>
      <c r="B322" s="6">
        <f t="shared" si="49"/>
        <v>8014663.8768719053</v>
      </c>
      <c r="C322" s="9">
        <f t="shared" si="45"/>
        <v>193977.09902550722</v>
      </c>
      <c r="D322" s="9">
        <f t="shared" si="46"/>
        <v>190765.35717254545</v>
      </c>
      <c r="E322" s="9">
        <f t="shared" ref="E322:E361" si="51">MAX(0,-IPMT($I$2/12,A322, $I$4,B322))</f>
        <v>3211.7418529617717</v>
      </c>
      <c r="F322" s="9" t="b">
        <v>0</v>
      </c>
      <c r="G322" s="24" t="str">
        <f t="shared" si="47"/>
        <v/>
      </c>
      <c r="H322" s="9"/>
      <c r="M322" s="9">
        <f t="shared" ref="M322:M361" si="52">-PMT($I$2/12, ($I$4/12)*12, $I$3)</f>
        <v>210802.01686472524</v>
      </c>
      <c r="N322" s="9">
        <f t="shared" ref="N322:N361" si="53">-PPMT($I$2/12,A322,$I$4, $I$3)</f>
        <v>190765.35717254545</v>
      </c>
      <c r="O322" s="9">
        <f t="shared" ref="O322:O385" si="54">MAX(0,-IPMT($I$2/12,A322, $I$4,P322))</f>
        <v>3211.7418529617717</v>
      </c>
      <c r="P322" s="6">
        <f t="shared" si="48"/>
        <v>8014663.8768719053</v>
      </c>
    </row>
    <row r="323" spans="1:16" x14ac:dyDescent="0.2">
      <c r="A323" s="3">
        <f t="shared" si="50"/>
        <v>322</v>
      </c>
      <c r="B323" s="6">
        <f t="shared" si="49"/>
        <v>7823898.5196993602</v>
      </c>
      <c r="C323" s="9">
        <f t="shared" ref="C323:C361" si="55">IF(B323&gt;0, IF(F323=TRUE, D323+E323+G323,D323+E323), "")</f>
        <v>194302.9399678045</v>
      </c>
      <c r="D323" s="9">
        <f t="shared" ref="D323:D361" si="56">-PPMT($I$2/12,A323,$I$4, $I$3)</f>
        <v>191242.27056547682</v>
      </c>
      <c r="E323" s="9">
        <f t="shared" si="51"/>
        <v>3060.6694023276932</v>
      </c>
      <c r="F323" s="9" t="b">
        <v>0</v>
      </c>
      <c r="G323" s="24" t="str">
        <f t="shared" ref="G323:G361" si="57">IF(F323=TRUE,D323*2,"")</f>
        <v/>
      </c>
      <c r="H323" s="9"/>
      <c r="M323" s="9">
        <f t="shared" si="52"/>
        <v>210802.01686472524</v>
      </c>
      <c r="N323" s="9">
        <f t="shared" si="53"/>
        <v>191242.27056547682</v>
      </c>
      <c r="O323" s="9">
        <f t="shared" si="54"/>
        <v>3060.6694023276932</v>
      </c>
      <c r="P323" s="6">
        <f t="shared" ref="P323:P361" si="58">P322-N322</f>
        <v>7823898.5196993602</v>
      </c>
    </row>
    <row r="324" spans="1:16" x14ac:dyDescent="0.2">
      <c r="A324" s="3">
        <f t="shared" si="50"/>
        <v>323</v>
      </c>
      <c r="B324" s="6">
        <f t="shared" ref="B324:B361" si="59">MAX(0,IF(F324=TRUE,B323-(D324+G324),B323-D323))</f>
        <v>7632656.249133883</v>
      </c>
      <c r="C324" s="9">
        <f t="shared" si="55"/>
        <v>194633.24831276268</v>
      </c>
      <c r="D324" s="9">
        <f t="shared" si="56"/>
        <v>191720.37624189054</v>
      </c>
      <c r="E324" s="9">
        <f t="shared" si="51"/>
        <v>2912.8720708721271</v>
      </c>
      <c r="F324" s="9" t="b">
        <v>0</v>
      </c>
      <c r="G324" s="24" t="str">
        <f t="shared" si="57"/>
        <v/>
      </c>
      <c r="H324" s="9"/>
      <c r="M324" s="9">
        <f t="shared" si="52"/>
        <v>210802.01686472524</v>
      </c>
      <c r="N324" s="9">
        <f t="shared" si="53"/>
        <v>191720.37624189054</v>
      </c>
      <c r="O324" s="9">
        <f t="shared" si="54"/>
        <v>2912.8720708721271</v>
      </c>
      <c r="P324" s="6">
        <f t="shared" si="58"/>
        <v>7632656.249133883</v>
      </c>
    </row>
    <row r="325" spans="1:16" x14ac:dyDescent="0.2">
      <c r="A325" s="3">
        <f t="shared" si="50"/>
        <v>324</v>
      </c>
      <c r="B325" s="6">
        <f t="shared" si="59"/>
        <v>7440935.8728919923</v>
      </c>
      <c r="C325" s="9">
        <f t="shared" si="55"/>
        <v>194968.05351571977</v>
      </c>
      <c r="D325" s="9">
        <f t="shared" si="56"/>
        <v>192199.67718249522</v>
      </c>
      <c r="E325" s="9">
        <f t="shared" si="51"/>
        <v>2768.3763332245476</v>
      </c>
      <c r="F325" s="9" t="b">
        <v>0</v>
      </c>
      <c r="G325" s="24" t="str">
        <f t="shared" si="57"/>
        <v/>
      </c>
      <c r="H325" s="9"/>
      <c r="M325" s="9">
        <f t="shared" si="52"/>
        <v>210802.01686472524</v>
      </c>
      <c r="N325" s="9">
        <f t="shared" si="53"/>
        <v>192199.67718249522</v>
      </c>
      <c r="O325" s="9">
        <f t="shared" si="54"/>
        <v>2768.3763332245476</v>
      </c>
      <c r="P325" s="6">
        <f t="shared" si="58"/>
        <v>7440935.8728919923</v>
      </c>
    </row>
    <row r="326" spans="1:16" x14ac:dyDescent="0.2">
      <c r="A326" s="3">
        <f t="shared" si="50"/>
        <v>325</v>
      </c>
      <c r="B326" s="6">
        <f t="shared" si="59"/>
        <v>7248736.1957094967</v>
      </c>
      <c r="C326" s="9">
        <f t="shared" si="55"/>
        <v>195307.38519720096</v>
      </c>
      <c r="D326" s="9">
        <f t="shared" si="56"/>
        <v>192680.1763754515</v>
      </c>
      <c r="E326" s="9">
        <f t="shared" si="51"/>
        <v>2627.2088217494511</v>
      </c>
      <c r="F326" s="9" t="b">
        <v>0</v>
      </c>
      <c r="G326" s="24" t="str">
        <f t="shared" si="57"/>
        <v/>
      </c>
      <c r="H326" s="9"/>
      <c r="M326" s="9">
        <f t="shared" si="52"/>
        <v>210802.01686472524</v>
      </c>
      <c r="N326" s="9">
        <f t="shared" si="53"/>
        <v>192680.1763754515</v>
      </c>
      <c r="O326" s="9">
        <f t="shared" si="54"/>
        <v>2627.2088217494511</v>
      </c>
      <c r="P326" s="6">
        <f t="shared" si="58"/>
        <v>7248736.1957094967</v>
      </c>
    </row>
    <row r="327" spans="1:16" x14ac:dyDescent="0.2">
      <c r="A327" s="3">
        <f t="shared" si="50"/>
        <v>326</v>
      </c>
      <c r="B327" s="6">
        <f t="shared" si="59"/>
        <v>7056056.0193340452</v>
      </c>
      <c r="C327" s="9">
        <f t="shared" si="55"/>
        <v>195651.27314378912</v>
      </c>
      <c r="D327" s="9">
        <f t="shared" si="56"/>
        <v>193161.87681639011</v>
      </c>
      <c r="E327" s="9">
        <f t="shared" si="51"/>
        <v>2489.3963273990121</v>
      </c>
      <c r="F327" s="9" t="b">
        <v>0</v>
      </c>
      <c r="G327" s="24" t="str">
        <f t="shared" si="57"/>
        <v/>
      </c>
      <c r="H327" s="9"/>
      <c r="M327" s="9">
        <f t="shared" si="52"/>
        <v>210802.01686472524</v>
      </c>
      <c r="N327" s="9">
        <f t="shared" si="53"/>
        <v>193161.87681639011</v>
      </c>
      <c r="O327" s="9">
        <f t="shared" si="54"/>
        <v>2489.3963273990121</v>
      </c>
      <c r="P327" s="6">
        <f t="shared" si="58"/>
        <v>7056056.0193340452</v>
      </c>
    </row>
    <row r="328" spans="1:16" x14ac:dyDescent="0.2">
      <c r="A328" s="3">
        <f t="shared" si="50"/>
        <v>327</v>
      </c>
      <c r="B328" s="6">
        <f t="shared" si="59"/>
        <v>6862894.1425176552</v>
      </c>
      <c r="C328" s="9">
        <f t="shared" si="55"/>
        <v>195999.74730900125</v>
      </c>
      <c r="D328" s="9">
        <f t="shared" si="56"/>
        <v>193644.7815084311</v>
      </c>
      <c r="E328" s="9">
        <f t="shared" si="51"/>
        <v>2354.9658005701585</v>
      </c>
      <c r="F328" s="9" t="b">
        <v>0</v>
      </c>
      <c r="G328" s="24" t="str">
        <f t="shared" si="57"/>
        <v/>
      </c>
      <c r="H328" s="9"/>
      <c r="M328" s="9">
        <f t="shared" si="52"/>
        <v>210802.01686472524</v>
      </c>
      <c r="N328" s="9">
        <f t="shared" si="53"/>
        <v>193644.7815084311</v>
      </c>
      <c r="O328" s="9">
        <f t="shared" si="54"/>
        <v>2354.9658005701585</v>
      </c>
      <c r="P328" s="6">
        <f t="shared" si="58"/>
        <v>6862894.1425176552</v>
      </c>
    </row>
    <row r="329" spans="1:16" x14ac:dyDescent="0.2">
      <c r="A329" s="3">
        <f t="shared" si="50"/>
        <v>328</v>
      </c>
      <c r="B329" s="6">
        <f t="shared" si="59"/>
        <v>6669249.3610092243</v>
      </c>
      <c r="C329" s="9">
        <f t="shared" si="55"/>
        <v>196352.83781416828</v>
      </c>
      <c r="D329" s="9">
        <f t="shared" si="56"/>
        <v>194128.89346220219</v>
      </c>
      <c r="E329" s="9">
        <f t="shared" si="51"/>
        <v>2223.9443519660986</v>
      </c>
      <c r="F329" s="9" t="b">
        <v>0</v>
      </c>
      <c r="G329" s="24" t="str">
        <f t="shared" si="57"/>
        <v/>
      </c>
      <c r="H329" s="9"/>
      <c r="M329" s="9">
        <f t="shared" si="52"/>
        <v>210802.01686472524</v>
      </c>
      <c r="N329" s="9">
        <f t="shared" si="53"/>
        <v>194128.89346220219</v>
      </c>
      <c r="O329" s="9">
        <f t="shared" si="54"/>
        <v>2223.9443519660986</v>
      </c>
      <c r="P329" s="6">
        <f t="shared" si="58"/>
        <v>6669249.3610092243</v>
      </c>
    </row>
    <row r="330" spans="1:16" x14ac:dyDescent="0.2">
      <c r="A330" s="3">
        <f t="shared" si="50"/>
        <v>329</v>
      </c>
      <c r="B330" s="6">
        <f t="shared" si="59"/>
        <v>6475120.4675470218</v>
      </c>
      <c r="C330" s="9">
        <f t="shared" si="55"/>
        <v>196710.57494932</v>
      </c>
      <c r="D330" s="9">
        <f t="shared" si="56"/>
        <v>194614.21569585768</v>
      </c>
      <c r="E330" s="9">
        <f t="shared" si="51"/>
        <v>2096.3592534623194</v>
      </c>
      <c r="F330" s="9" t="b">
        <v>0</v>
      </c>
      <c r="G330" s="24" t="str">
        <f t="shared" si="57"/>
        <v/>
      </c>
      <c r="H330" s="9"/>
      <c r="M330" s="9">
        <f t="shared" si="52"/>
        <v>210802.01686472524</v>
      </c>
      <c r="N330" s="9">
        <f t="shared" si="53"/>
        <v>194614.21569585768</v>
      </c>
      <c r="O330" s="9">
        <f t="shared" si="54"/>
        <v>2096.3592534623194</v>
      </c>
      <c r="P330" s="6">
        <f t="shared" si="58"/>
        <v>6475120.4675470218</v>
      </c>
    </row>
    <row r="331" spans="1:16" x14ac:dyDescent="0.2">
      <c r="A331" s="3">
        <f t="shared" si="50"/>
        <v>330</v>
      </c>
      <c r="B331" s="6">
        <f t="shared" si="59"/>
        <v>6280506.2518511638</v>
      </c>
      <c r="C331" s="9">
        <f t="shared" si="55"/>
        <v>197072.98917407441</v>
      </c>
      <c r="D331" s="9">
        <f t="shared" si="56"/>
        <v>195100.75123509733</v>
      </c>
      <c r="E331" s="9">
        <f t="shared" si="51"/>
        <v>1972.2379389770792</v>
      </c>
      <c r="F331" s="9" t="b">
        <v>0</v>
      </c>
      <c r="G331" s="24" t="str">
        <f t="shared" si="57"/>
        <v/>
      </c>
      <c r="H331" s="9"/>
      <c r="M331" s="9">
        <f t="shared" si="52"/>
        <v>210802.01686472524</v>
      </c>
      <c r="N331" s="9">
        <f t="shared" si="53"/>
        <v>195100.75123509733</v>
      </c>
      <c r="O331" s="9">
        <f t="shared" si="54"/>
        <v>1972.2379389770792</v>
      </c>
      <c r="P331" s="6">
        <f t="shared" si="58"/>
        <v>6280506.2518511638</v>
      </c>
    </row>
    <row r="332" spans="1:16" x14ac:dyDescent="0.2">
      <c r="A332" s="3">
        <f t="shared" si="50"/>
        <v>331</v>
      </c>
      <c r="B332" s="6">
        <f t="shared" si="59"/>
        <v>6085405.5006160662</v>
      </c>
      <c r="C332" s="9">
        <f t="shared" si="55"/>
        <v>197440.11111853147</v>
      </c>
      <c r="D332" s="9">
        <f t="shared" si="56"/>
        <v>195588.50311318506</v>
      </c>
      <c r="E332" s="9">
        <f t="shared" si="51"/>
        <v>1851.6080053464152</v>
      </c>
      <c r="F332" s="9" t="b">
        <v>0</v>
      </c>
      <c r="G332" s="24" t="str">
        <f t="shared" si="57"/>
        <v/>
      </c>
      <c r="H332" s="9"/>
      <c r="M332" s="9">
        <f t="shared" si="52"/>
        <v>210802.01686472524</v>
      </c>
      <c r="N332" s="9">
        <f t="shared" si="53"/>
        <v>195588.50311318506</v>
      </c>
      <c r="O332" s="9">
        <f t="shared" si="54"/>
        <v>1851.6080053464152</v>
      </c>
      <c r="P332" s="6">
        <f t="shared" si="58"/>
        <v>6085405.5006160662</v>
      </c>
    </row>
    <row r="333" spans="1:16" x14ac:dyDescent="0.2">
      <c r="A333" s="3">
        <f t="shared" si="50"/>
        <v>332</v>
      </c>
      <c r="B333" s="6">
        <f t="shared" si="59"/>
        <v>5889816.9975028811</v>
      </c>
      <c r="C333" s="9">
        <f t="shared" si="55"/>
        <v>197811.9715841717</v>
      </c>
      <c r="D333" s="9">
        <f t="shared" si="56"/>
        <v>196077.474370968</v>
      </c>
      <c r="E333" s="9">
        <f t="shared" si="51"/>
        <v>1734.4972132036939</v>
      </c>
      <c r="F333" s="9" t="b">
        <v>0</v>
      </c>
      <c r="G333" s="24" t="str">
        <f t="shared" si="57"/>
        <v/>
      </c>
      <c r="H333" s="9"/>
      <c r="M333" s="9">
        <f t="shared" si="52"/>
        <v>210802.01686472524</v>
      </c>
      <c r="N333" s="9">
        <f t="shared" si="53"/>
        <v>196077.474370968</v>
      </c>
      <c r="O333" s="9">
        <f t="shared" si="54"/>
        <v>1734.4972132036939</v>
      </c>
      <c r="P333" s="6">
        <f t="shared" si="58"/>
        <v>5889816.9975028811</v>
      </c>
    </row>
    <row r="334" spans="1:16" x14ac:dyDescent="0.2">
      <c r="A334" s="3">
        <f t="shared" si="50"/>
        <v>333</v>
      </c>
      <c r="B334" s="6">
        <f t="shared" si="59"/>
        <v>5693739.5231319135</v>
      </c>
      <c r="C334" s="9">
        <f t="shared" si="55"/>
        <v>198188.60154475915</v>
      </c>
      <c r="D334" s="9">
        <f t="shared" si="56"/>
        <v>196567.66805689543</v>
      </c>
      <c r="E334" s="9">
        <f t="shared" si="51"/>
        <v>1620.9334878637226</v>
      </c>
      <c r="F334" s="9" t="b">
        <v>0</v>
      </c>
      <c r="G334" s="24" t="str">
        <f t="shared" si="57"/>
        <v/>
      </c>
      <c r="H334" s="9"/>
      <c r="M334" s="9">
        <f t="shared" si="52"/>
        <v>210802.01686472524</v>
      </c>
      <c r="N334" s="9">
        <f t="shared" si="53"/>
        <v>196567.66805689543</v>
      </c>
      <c r="O334" s="9">
        <f t="shared" si="54"/>
        <v>1620.9334878637226</v>
      </c>
      <c r="P334" s="6">
        <f t="shared" si="58"/>
        <v>5693739.5231319135</v>
      </c>
    </row>
    <row r="335" spans="1:16" x14ac:dyDescent="0.2">
      <c r="A335" s="3">
        <f t="shared" si="50"/>
        <v>334</v>
      </c>
      <c r="B335" s="6">
        <f t="shared" si="59"/>
        <v>5497171.8550750185</v>
      </c>
      <c r="C335" s="9">
        <f t="shared" si="55"/>
        <v>198570.03214724915</v>
      </c>
      <c r="D335" s="9">
        <f t="shared" si="56"/>
        <v>197059.0872270377</v>
      </c>
      <c r="E335" s="9">
        <f t="shared" si="51"/>
        <v>1510.9449202114472</v>
      </c>
      <c r="F335" s="9" t="b">
        <v>0</v>
      </c>
      <c r="G335" s="24" t="str">
        <f t="shared" si="57"/>
        <v/>
      </c>
      <c r="H335" s="9"/>
      <c r="M335" s="9">
        <f t="shared" si="52"/>
        <v>210802.01686472524</v>
      </c>
      <c r="N335" s="9">
        <f t="shared" si="53"/>
        <v>197059.0872270377</v>
      </c>
      <c r="O335" s="9">
        <f t="shared" si="54"/>
        <v>1510.9449202114472</v>
      </c>
      <c r="P335" s="6">
        <f t="shared" si="58"/>
        <v>5497171.8550750185</v>
      </c>
    </row>
    <row r="336" spans="1:16" x14ac:dyDescent="0.2">
      <c r="A336" s="3">
        <f t="shared" si="50"/>
        <v>335</v>
      </c>
      <c r="B336" s="6">
        <f t="shared" si="59"/>
        <v>5300112.7678479804</v>
      </c>
      <c r="C336" s="9">
        <f t="shared" si="55"/>
        <v>198956.29471270053</v>
      </c>
      <c r="D336" s="9">
        <f t="shared" si="56"/>
        <v>197551.73494510527</v>
      </c>
      <c r="E336" s="9">
        <f t="shared" si="51"/>
        <v>1404.5597675952604</v>
      </c>
      <c r="F336" s="9" t="b">
        <v>0</v>
      </c>
      <c r="G336" s="24" t="str">
        <f t="shared" si="57"/>
        <v/>
      </c>
      <c r="H336" s="9"/>
      <c r="M336" s="9">
        <f t="shared" si="52"/>
        <v>210802.01686472524</v>
      </c>
      <c r="N336" s="9">
        <f t="shared" si="53"/>
        <v>197551.73494510527</v>
      </c>
      <c r="O336" s="9">
        <f t="shared" si="54"/>
        <v>1404.5597675952604</v>
      </c>
      <c r="P336" s="6">
        <f t="shared" si="58"/>
        <v>5300112.7678479804</v>
      </c>
    </row>
    <row r="337" spans="1:16" x14ac:dyDescent="0.2">
      <c r="A337" s="3">
        <f t="shared" si="50"/>
        <v>336</v>
      </c>
      <c r="B337" s="6">
        <f t="shared" si="59"/>
        <v>5102561.032902875</v>
      </c>
      <c r="C337" s="9">
        <f t="shared" si="55"/>
        <v>199347.420737193</v>
      </c>
      <c r="D337" s="9">
        <f t="shared" si="56"/>
        <v>198045.61428246804</v>
      </c>
      <c r="E337" s="9">
        <f t="shared" si="51"/>
        <v>1301.8064547249437</v>
      </c>
      <c r="F337" s="9" t="b">
        <v>0</v>
      </c>
      <c r="G337" s="24" t="str">
        <f t="shared" si="57"/>
        <v/>
      </c>
      <c r="H337" s="9"/>
      <c r="M337" s="9">
        <f t="shared" si="52"/>
        <v>210802.01686472524</v>
      </c>
      <c r="N337" s="9">
        <f t="shared" si="53"/>
        <v>198045.61428246804</v>
      </c>
      <c r="O337" s="9">
        <f t="shared" si="54"/>
        <v>1301.8064547249437</v>
      </c>
      <c r="P337" s="6">
        <f t="shared" si="58"/>
        <v>5102561.032902875</v>
      </c>
    </row>
    <row r="338" spans="1:16" x14ac:dyDescent="0.2">
      <c r="A338" s="3">
        <f t="shared" si="50"/>
        <v>337</v>
      </c>
      <c r="B338" s="6">
        <f t="shared" si="59"/>
        <v>4904515.4186204067</v>
      </c>
      <c r="C338" s="9">
        <f t="shared" si="55"/>
        <v>199743.44189274849</v>
      </c>
      <c r="D338" s="9">
        <f t="shared" si="56"/>
        <v>198540.72831817422</v>
      </c>
      <c r="E338" s="9">
        <f t="shared" si="51"/>
        <v>1202.7135745742662</v>
      </c>
      <c r="F338" s="9" t="b">
        <v>0</v>
      </c>
      <c r="G338" s="24" t="str">
        <f t="shared" si="57"/>
        <v/>
      </c>
      <c r="H338" s="9"/>
      <c r="M338" s="9">
        <f t="shared" si="52"/>
        <v>210802.01686472524</v>
      </c>
      <c r="N338" s="9">
        <f t="shared" si="53"/>
        <v>198540.72831817422</v>
      </c>
      <c r="O338" s="9">
        <f t="shared" si="54"/>
        <v>1202.7135745742662</v>
      </c>
      <c r="P338" s="6">
        <f t="shared" si="58"/>
        <v>4904515.4186204067</v>
      </c>
    </row>
    <row r="339" spans="1:16" x14ac:dyDescent="0.2">
      <c r="A339" s="3">
        <f t="shared" si="50"/>
        <v>338</v>
      </c>
      <c r="B339" s="6">
        <f t="shared" si="59"/>
        <v>4705974.6903022323</v>
      </c>
      <c r="C339" s="9">
        <f t="shared" si="55"/>
        <v>200144.39002825791</v>
      </c>
      <c r="D339" s="9">
        <f t="shared" si="56"/>
        <v>199037.08013896964</v>
      </c>
      <c r="E339" s="9">
        <f t="shared" si="51"/>
        <v>1107.3098892882608</v>
      </c>
      <c r="F339" s="9" t="b">
        <v>0</v>
      </c>
      <c r="G339" s="24" t="str">
        <f t="shared" si="57"/>
        <v/>
      </c>
      <c r="H339" s="9"/>
      <c r="M339" s="9">
        <f t="shared" si="52"/>
        <v>210802.01686472524</v>
      </c>
      <c r="N339" s="9">
        <f t="shared" si="53"/>
        <v>199037.08013896964</v>
      </c>
      <c r="O339" s="9">
        <f t="shared" si="54"/>
        <v>1107.3098892882608</v>
      </c>
      <c r="P339" s="6">
        <f t="shared" si="58"/>
        <v>4705974.6903022323</v>
      </c>
    </row>
    <row r="340" spans="1:16" x14ac:dyDescent="0.2">
      <c r="A340" s="3">
        <f t="shared" si="50"/>
        <v>339</v>
      </c>
      <c r="B340" s="6">
        <f t="shared" si="59"/>
        <v>4506937.610163263</v>
      </c>
      <c r="C340" s="9">
        <f t="shared" si="55"/>
        <v>200550.29717041226</v>
      </c>
      <c r="D340" s="9">
        <f t="shared" si="56"/>
        <v>199534.67283931706</v>
      </c>
      <c r="E340" s="9">
        <f t="shared" si="51"/>
        <v>1015.6243310952082</v>
      </c>
      <c r="F340" s="9" t="b">
        <v>0</v>
      </c>
      <c r="G340" s="24" t="str">
        <f t="shared" si="57"/>
        <v/>
      </c>
      <c r="H340" s="9"/>
      <c r="M340" s="9">
        <f t="shared" si="52"/>
        <v>210802.01686472524</v>
      </c>
      <c r="N340" s="9">
        <f t="shared" si="53"/>
        <v>199534.67283931706</v>
      </c>
      <c r="O340" s="9">
        <f t="shared" si="54"/>
        <v>1015.6243310952082</v>
      </c>
      <c r="P340" s="6">
        <f t="shared" si="58"/>
        <v>4506937.610163263</v>
      </c>
    </row>
    <row r="341" spans="1:16" x14ac:dyDescent="0.2">
      <c r="A341" s="3">
        <f t="shared" si="50"/>
        <v>340</v>
      </c>
      <c r="B341" s="6">
        <f t="shared" si="59"/>
        <v>4307402.9373239456</v>
      </c>
      <c r="C341" s="9">
        <f t="shared" si="55"/>
        <v>200961.19552463869</v>
      </c>
      <c r="D341" s="9">
        <f t="shared" si="56"/>
        <v>200033.50952141534</v>
      </c>
      <c r="E341" s="9">
        <f t="shared" si="51"/>
        <v>927.68600322334885</v>
      </c>
      <c r="F341" s="9" t="b">
        <v>0</v>
      </c>
      <c r="G341" s="24" t="str">
        <f t="shared" si="57"/>
        <v/>
      </c>
      <c r="H341" s="9"/>
      <c r="M341" s="9">
        <f t="shared" si="52"/>
        <v>210802.01686472524</v>
      </c>
      <c r="N341" s="9">
        <f t="shared" si="53"/>
        <v>200033.50952141534</v>
      </c>
      <c r="O341" s="9">
        <f t="shared" si="54"/>
        <v>927.68600322334885</v>
      </c>
      <c r="P341" s="6">
        <f t="shared" si="58"/>
        <v>4307402.9373239456</v>
      </c>
    </row>
    <row r="342" spans="1:16" x14ac:dyDescent="0.2">
      <c r="A342" s="3">
        <f t="shared" si="50"/>
        <v>341</v>
      </c>
      <c r="B342" s="6">
        <f t="shared" si="59"/>
        <v>4107369.4278025301</v>
      </c>
      <c r="C342" s="9">
        <f t="shared" si="55"/>
        <v>201377.11747604125</v>
      </c>
      <c r="D342" s="9">
        <f t="shared" si="56"/>
        <v>200533.59329521892</v>
      </c>
      <c r="E342" s="9">
        <f t="shared" si="51"/>
        <v>843.52418082234522</v>
      </c>
      <c r="F342" s="9" t="b">
        <v>0</v>
      </c>
      <c r="G342" s="24" t="str">
        <f t="shared" si="57"/>
        <v/>
      </c>
      <c r="H342" s="9"/>
      <c r="M342" s="9">
        <f t="shared" si="52"/>
        <v>210802.01686472524</v>
      </c>
      <c r="N342" s="9">
        <f t="shared" si="53"/>
        <v>200533.59329521892</v>
      </c>
      <c r="O342" s="9">
        <f t="shared" si="54"/>
        <v>843.52418082234522</v>
      </c>
      <c r="P342" s="6">
        <f t="shared" si="58"/>
        <v>4107369.4278025301</v>
      </c>
    </row>
    <row r="343" spans="1:16" x14ac:dyDescent="0.2">
      <c r="A343" s="3">
        <f t="shared" si="50"/>
        <v>342</v>
      </c>
      <c r="B343" s="6">
        <f t="shared" si="59"/>
        <v>3906835.8345073112</v>
      </c>
      <c r="C343" s="9">
        <f t="shared" si="55"/>
        <v>201798.09559034646</v>
      </c>
      <c r="D343" s="9">
        <f t="shared" si="56"/>
        <v>201034.92727845695</v>
      </c>
      <c r="E343" s="9">
        <f t="shared" si="51"/>
        <v>763.1683118895229</v>
      </c>
      <c r="F343" s="9" t="b">
        <v>0</v>
      </c>
      <c r="G343" s="24" t="str">
        <f t="shared" si="57"/>
        <v/>
      </c>
      <c r="H343" s="9"/>
      <c r="M343" s="9">
        <f t="shared" si="52"/>
        <v>210802.01686472524</v>
      </c>
      <c r="N343" s="9">
        <f t="shared" si="53"/>
        <v>201034.92727845695</v>
      </c>
      <c r="O343" s="9">
        <f t="shared" si="54"/>
        <v>763.1683118895229</v>
      </c>
      <c r="P343" s="6">
        <f t="shared" si="58"/>
        <v>3906835.8345073112</v>
      </c>
    </row>
    <row r="344" spans="1:16" x14ac:dyDescent="0.2">
      <c r="A344" s="3">
        <f t="shared" si="50"/>
        <v>343</v>
      </c>
      <c r="B344" s="6">
        <f t="shared" si="59"/>
        <v>3705800.9072288545</v>
      </c>
      <c r="C344" s="9">
        <f t="shared" si="55"/>
        <v>202224.16261485402</v>
      </c>
      <c r="D344" s="9">
        <f t="shared" si="56"/>
        <v>201537.51459665311</v>
      </c>
      <c r="E344" s="9">
        <f t="shared" si="51"/>
        <v>686.64801820091088</v>
      </c>
      <c r="F344" s="9" t="b">
        <v>0</v>
      </c>
      <c r="G344" s="24" t="str">
        <f t="shared" si="57"/>
        <v/>
      </c>
      <c r="H344" s="9"/>
      <c r="M344" s="9">
        <f t="shared" si="52"/>
        <v>210802.01686472524</v>
      </c>
      <c r="N344" s="9">
        <f t="shared" si="53"/>
        <v>201537.51459665311</v>
      </c>
      <c r="O344" s="9">
        <f t="shared" si="54"/>
        <v>686.64801820091088</v>
      </c>
      <c r="P344" s="6">
        <f t="shared" si="58"/>
        <v>3705800.9072288545</v>
      </c>
    </row>
    <row r="345" spans="1:16" x14ac:dyDescent="0.2">
      <c r="A345" s="3">
        <f t="shared" si="50"/>
        <v>344</v>
      </c>
      <c r="B345" s="6">
        <f t="shared" si="59"/>
        <v>3504263.3926322013</v>
      </c>
      <c r="C345" s="9">
        <f t="shared" si="55"/>
        <v>202655.35147939186</v>
      </c>
      <c r="D345" s="9">
        <f t="shared" si="56"/>
        <v>202041.35838314475</v>
      </c>
      <c r="E345" s="9">
        <f t="shared" si="51"/>
        <v>613.99309624710816</v>
      </c>
      <c r="F345" s="9" t="b">
        <v>0</v>
      </c>
      <c r="G345" s="24" t="str">
        <f t="shared" si="57"/>
        <v/>
      </c>
      <c r="H345" s="9"/>
      <c r="M345" s="9">
        <f t="shared" si="52"/>
        <v>210802.01686472524</v>
      </c>
      <c r="N345" s="9">
        <f t="shared" si="53"/>
        <v>202041.35838314475</v>
      </c>
      <c r="O345" s="9">
        <f t="shared" si="54"/>
        <v>613.99309624710816</v>
      </c>
      <c r="P345" s="6">
        <f t="shared" si="58"/>
        <v>3504263.3926322013</v>
      </c>
    </row>
    <row r="346" spans="1:16" x14ac:dyDescent="0.2">
      <c r="A346" s="3">
        <f t="shared" si="50"/>
        <v>345</v>
      </c>
      <c r="B346" s="6">
        <f t="shared" si="59"/>
        <v>3302222.0342490566</v>
      </c>
      <c r="C346" s="9">
        <f t="shared" si="55"/>
        <v>203091.69529727663</v>
      </c>
      <c r="D346" s="9">
        <f t="shared" si="56"/>
        <v>202546.46177910262</v>
      </c>
      <c r="E346" s="9">
        <f t="shared" si="51"/>
        <v>545.23351817399964</v>
      </c>
      <c r="F346" s="9" t="b">
        <v>0</v>
      </c>
      <c r="G346" s="24" t="str">
        <f t="shared" si="57"/>
        <v/>
      </c>
      <c r="H346" s="9"/>
      <c r="M346" s="9">
        <f t="shared" si="52"/>
        <v>210802.01686472524</v>
      </c>
      <c r="N346" s="9">
        <f t="shared" si="53"/>
        <v>202546.46177910262</v>
      </c>
      <c r="O346" s="9">
        <f t="shared" si="54"/>
        <v>545.23351817399964</v>
      </c>
      <c r="P346" s="6">
        <f t="shared" si="58"/>
        <v>3302222.0342490566</v>
      </c>
    </row>
    <row r="347" spans="1:16" x14ac:dyDescent="0.2">
      <c r="A347" s="3">
        <f t="shared" si="50"/>
        <v>346</v>
      </c>
      <c r="B347" s="6">
        <f t="shared" si="59"/>
        <v>3099675.5724699539</v>
      </c>
      <c r="C347" s="9">
        <f t="shared" si="55"/>
        <v>203533.2273662787</v>
      </c>
      <c r="D347" s="9">
        <f t="shared" si="56"/>
        <v>203052.82793355035</v>
      </c>
      <c r="E347" s="9">
        <f t="shared" si="51"/>
        <v>480.39943272834756</v>
      </c>
      <c r="F347" s="9" t="b">
        <v>0</v>
      </c>
      <c r="G347" s="24" t="str">
        <f t="shared" si="57"/>
        <v/>
      </c>
      <c r="H347" s="9"/>
      <c r="M347" s="9">
        <f t="shared" si="52"/>
        <v>210802.01686472524</v>
      </c>
      <c r="N347" s="9">
        <f t="shared" si="53"/>
        <v>203052.82793355035</v>
      </c>
      <c r="O347" s="9">
        <f t="shared" si="54"/>
        <v>480.39943272834756</v>
      </c>
      <c r="P347" s="6">
        <f t="shared" si="58"/>
        <v>3099675.5724699539</v>
      </c>
    </row>
    <row r="348" spans="1:16" x14ac:dyDescent="0.2">
      <c r="A348" s="3">
        <f t="shared" si="50"/>
        <v>347</v>
      </c>
      <c r="B348" s="6">
        <f t="shared" si="59"/>
        <v>2896622.7445364036</v>
      </c>
      <c r="C348" s="9">
        <f t="shared" si="55"/>
        <v>203979.98116959253</v>
      </c>
      <c r="D348" s="9">
        <f t="shared" si="56"/>
        <v>203560.46000338424</v>
      </c>
      <c r="E348" s="9">
        <f t="shared" si="51"/>
        <v>419.5211662082811</v>
      </c>
      <c r="F348" s="9" t="b">
        <v>0</v>
      </c>
      <c r="G348" s="24" t="str">
        <f t="shared" si="57"/>
        <v/>
      </c>
      <c r="H348" s="9"/>
      <c r="M348" s="9">
        <f t="shared" si="52"/>
        <v>210802.01686472524</v>
      </c>
      <c r="N348" s="9">
        <f t="shared" si="53"/>
        <v>203560.46000338424</v>
      </c>
      <c r="O348" s="9">
        <f t="shared" si="54"/>
        <v>419.5211662082811</v>
      </c>
      <c r="P348" s="6">
        <f t="shared" si="58"/>
        <v>2896622.7445364036</v>
      </c>
    </row>
    <row r="349" spans="1:16" x14ac:dyDescent="0.2">
      <c r="A349" s="3">
        <f t="shared" si="50"/>
        <v>348</v>
      </c>
      <c r="B349" s="6">
        <f t="shared" si="59"/>
        <v>2693062.2845330192</v>
      </c>
      <c r="C349" s="9">
        <f t="shared" si="55"/>
        <v>204431.99037681139</v>
      </c>
      <c r="D349" s="9">
        <f t="shared" si="56"/>
        <v>204069.36115339267</v>
      </c>
      <c r="E349" s="9">
        <f t="shared" si="51"/>
        <v>362.62922341871081</v>
      </c>
      <c r="F349" s="9" t="b">
        <v>0</v>
      </c>
      <c r="G349" s="24" t="str">
        <f t="shared" si="57"/>
        <v/>
      </c>
      <c r="H349" s="9"/>
      <c r="M349" s="9">
        <f t="shared" si="52"/>
        <v>210802.01686472524</v>
      </c>
      <c r="N349" s="9">
        <f t="shared" si="53"/>
        <v>204069.36115339267</v>
      </c>
      <c r="O349" s="9">
        <f t="shared" si="54"/>
        <v>362.62922341871081</v>
      </c>
      <c r="P349" s="6">
        <f t="shared" si="58"/>
        <v>2693062.2845330192</v>
      </c>
    </row>
    <row r="350" spans="1:16" x14ac:dyDescent="0.2">
      <c r="A350" s="3">
        <f t="shared" si="50"/>
        <v>349</v>
      </c>
      <c r="B350" s="6">
        <f t="shared" si="59"/>
        <v>2488992.9233796266</v>
      </c>
      <c r="C350" s="9">
        <f t="shared" si="55"/>
        <v>204889.28884490786</v>
      </c>
      <c r="D350" s="9">
        <f t="shared" si="56"/>
        <v>204579.53455627616</v>
      </c>
      <c r="E350" s="9">
        <f t="shared" si="51"/>
        <v>309.75428863169356</v>
      </c>
      <c r="F350" s="9" t="b">
        <v>0</v>
      </c>
      <c r="G350" s="24" t="str">
        <f t="shared" si="57"/>
        <v/>
      </c>
      <c r="H350" s="9"/>
      <c r="M350" s="9">
        <f t="shared" si="52"/>
        <v>210802.01686472524</v>
      </c>
      <c r="N350" s="9">
        <f t="shared" si="53"/>
        <v>204579.53455627616</v>
      </c>
      <c r="O350" s="9">
        <f t="shared" si="54"/>
        <v>309.75428863169356</v>
      </c>
      <c r="P350" s="6">
        <f t="shared" si="58"/>
        <v>2488992.9233796266</v>
      </c>
    </row>
    <row r="351" spans="1:16" x14ac:dyDescent="0.2">
      <c r="A351" s="3">
        <f t="shared" si="50"/>
        <v>350</v>
      </c>
      <c r="B351" s="6">
        <f t="shared" si="59"/>
        <v>2284413.3888233504</v>
      </c>
      <c r="C351" s="9">
        <f t="shared" si="55"/>
        <v>205351.91061921863</v>
      </c>
      <c r="D351" s="9">
        <f t="shared" si="56"/>
        <v>205090.98339266685</v>
      </c>
      <c r="E351" s="9">
        <f t="shared" si="51"/>
        <v>260.92722655176971</v>
      </c>
      <c r="F351" s="9" t="b">
        <v>0</v>
      </c>
      <c r="G351" s="24" t="str">
        <f t="shared" si="57"/>
        <v/>
      </c>
      <c r="H351" s="9"/>
      <c r="M351" s="9">
        <f t="shared" si="52"/>
        <v>210802.01686472524</v>
      </c>
      <c r="N351" s="9">
        <f t="shared" si="53"/>
        <v>205090.98339266685</v>
      </c>
      <c r="O351" s="9">
        <f t="shared" si="54"/>
        <v>260.92722655176971</v>
      </c>
      <c r="P351" s="6">
        <f t="shared" si="58"/>
        <v>2284413.3888233504</v>
      </c>
    </row>
    <row r="352" spans="1:16" x14ac:dyDescent="0.2">
      <c r="A352" s="3">
        <f t="shared" si="50"/>
        <v>351</v>
      </c>
      <c r="B352" s="6">
        <f t="shared" si="59"/>
        <v>2079322.4054306836</v>
      </c>
      <c r="C352" s="9">
        <f t="shared" si="55"/>
        <v>205819.88993443482</v>
      </c>
      <c r="D352" s="9">
        <f t="shared" si="56"/>
        <v>205603.71085114853</v>
      </c>
      <c r="E352" s="9">
        <f t="shared" si="51"/>
        <v>216.1790832863027</v>
      </c>
      <c r="F352" s="9" t="b">
        <v>0</v>
      </c>
      <c r="G352" s="24" t="str">
        <f t="shared" si="57"/>
        <v/>
      </c>
      <c r="H352" s="9"/>
      <c r="M352" s="9">
        <f t="shared" si="52"/>
        <v>210802.01686472524</v>
      </c>
      <c r="N352" s="9">
        <f t="shared" si="53"/>
        <v>205603.71085114853</v>
      </c>
      <c r="O352" s="9">
        <f t="shared" si="54"/>
        <v>216.1790832863027</v>
      </c>
      <c r="P352" s="6">
        <f t="shared" si="58"/>
        <v>2079322.4054306836</v>
      </c>
    </row>
    <row r="353" spans="1:16" x14ac:dyDescent="0.2">
      <c r="A353" s="3">
        <f t="shared" si="50"/>
        <v>352</v>
      </c>
      <c r="B353" s="6">
        <f t="shared" si="59"/>
        <v>1873718.6945795352</v>
      </c>
      <c r="C353" s="9">
        <f t="shared" si="55"/>
        <v>206293.26121559722</v>
      </c>
      <c r="D353" s="9">
        <f t="shared" si="56"/>
        <v>206117.72012827639</v>
      </c>
      <c r="E353" s="9">
        <f t="shared" si="51"/>
        <v>175.54108732084225</v>
      </c>
      <c r="F353" s="9" t="b">
        <v>0</v>
      </c>
      <c r="G353" s="24" t="str">
        <f t="shared" si="57"/>
        <v/>
      </c>
      <c r="H353" s="9"/>
      <c r="M353" s="9">
        <f t="shared" si="52"/>
        <v>210802.01686472524</v>
      </c>
      <c r="N353" s="9">
        <f t="shared" si="53"/>
        <v>206117.72012827639</v>
      </c>
      <c r="O353" s="9">
        <f t="shared" si="54"/>
        <v>175.54108732084225</v>
      </c>
      <c r="P353" s="6">
        <f t="shared" si="58"/>
        <v>1873718.6945795352</v>
      </c>
    </row>
    <row r="354" spans="1:16" x14ac:dyDescent="0.2">
      <c r="A354" s="3">
        <f t="shared" si="50"/>
        <v>353</v>
      </c>
      <c r="B354" s="6">
        <f t="shared" si="59"/>
        <v>1667600.9744512588</v>
      </c>
      <c r="C354" s="9">
        <f t="shared" si="55"/>
        <v>206772.05907909662</v>
      </c>
      <c r="D354" s="9">
        <f t="shared" si="56"/>
        <v>206633.01442859709</v>
      </c>
      <c r="E354" s="9">
        <f t="shared" si="51"/>
        <v>139.04465049953976</v>
      </c>
      <c r="F354" s="9" t="b">
        <v>0</v>
      </c>
      <c r="G354" s="24" t="str">
        <f t="shared" si="57"/>
        <v/>
      </c>
      <c r="H354" s="9"/>
      <c r="M354" s="9">
        <f t="shared" si="52"/>
        <v>210802.01686472524</v>
      </c>
      <c r="N354" s="9">
        <f t="shared" si="53"/>
        <v>206633.01442859709</v>
      </c>
      <c r="O354" s="9">
        <f t="shared" si="54"/>
        <v>139.04465049953976</v>
      </c>
      <c r="P354" s="6">
        <f t="shared" si="58"/>
        <v>1667600.9744512588</v>
      </c>
    </row>
    <row r="355" spans="1:16" x14ac:dyDescent="0.2">
      <c r="A355" s="3">
        <f t="shared" si="50"/>
        <v>354</v>
      </c>
      <c r="B355" s="6">
        <f t="shared" si="59"/>
        <v>1460967.9600226616</v>
      </c>
      <c r="C355" s="9">
        <f t="shared" si="55"/>
        <v>207256.31833367923</v>
      </c>
      <c r="D355" s="9">
        <f t="shared" si="56"/>
        <v>207149.5969646686</v>
      </c>
      <c r="E355" s="9">
        <f t="shared" si="51"/>
        <v>106.72136901063919</v>
      </c>
      <c r="F355" s="9" t="b">
        <v>0</v>
      </c>
      <c r="G355" s="24" t="str">
        <f t="shared" si="57"/>
        <v/>
      </c>
      <c r="H355" s="9"/>
      <c r="M355" s="9">
        <f t="shared" si="52"/>
        <v>210802.01686472524</v>
      </c>
      <c r="N355" s="9">
        <f t="shared" si="53"/>
        <v>207149.5969646686</v>
      </c>
      <c r="O355" s="9">
        <f t="shared" si="54"/>
        <v>106.72136901063919</v>
      </c>
      <c r="P355" s="6">
        <f t="shared" si="58"/>
        <v>1460967.9600226616</v>
      </c>
    </row>
    <row r="356" spans="1:16" x14ac:dyDescent="0.2">
      <c r="A356" s="3">
        <f t="shared" si="50"/>
        <v>355</v>
      </c>
      <c r="B356" s="6">
        <f t="shared" si="59"/>
        <v>1253818.3630579929</v>
      </c>
      <c r="C356" s="9">
        <f t="shared" si="55"/>
        <v>207746.07398145733</v>
      </c>
      <c r="D356" s="9">
        <f t="shared" si="56"/>
        <v>207667.47095708025</v>
      </c>
      <c r="E356" s="9">
        <f t="shared" si="51"/>
        <v>78.603024377071534</v>
      </c>
      <c r="F356" s="9" t="b">
        <v>0</v>
      </c>
      <c r="G356" s="24" t="str">
        <f t="shared" si="57"/>
        <v/>
      </c>
      <c r="H356" s="9"/>
      <c r="M356" s="9">
        <f t="shared" si="52"/>
        <v>210802.01686472524</v>
      </c>
      <c r="N356" s="9">
        <f t="shared" si="53"/>
        <v>207667.47095708025</v>
      </c>
      <c r="O356" s="9">
        <f t="shared" si="54"/>
        <v>78.603024377071534</v>
      </c>
      <c r="P356" s="6">
        <f t="shared" si="58"/>
        <v>1253818.3630579929</v>
      </c>
    </row>
    <row r="357" spans="1:16" x14ac:dyDescent="0.2">
      <c r="A357" s="3">
        <f t="shared" si="50"/>
        <v>356</v>
      </c>
      <c r="B357" s="6">
        <f t="shared" si="59"/>
        <v>1046150.8921009126</v>
      </c>
      <c r="C357" s="9">
        <f t="shared" si="55"/>
        <v>208241.36121892513</v>
      </c>
      <c r="D357" s="9">
        <f t="shared" si="56"/>
        <v>208186.63963447296</v>
      </c>
      <c r="E357" s="9">
        <f t="shared" si="51"/>
        <v>54.721584452177012</v>
      </c>
      <c r="F357" s="9" t="b">
        <v>0</v>
      </c>
      <c r="G357" s="24" t="str">
        <f t="shared" si="57"/>
        <v/>
      </c>
      <c r="H357" s="9"/>
      <c r="M357" s="9">
        <f t="shared" si="52"/>
        <v>210802.01686472524</v>
      </c>
      <c r="N357" s="9">
        <f t="shared" si="53"/>
        <v>208186.63963447296</v>
      </c>
      <c r="O357" s="9">
        <f t="shared" si="54"/>
        <v>54.721584452177012</v>
      </c>
      <c r="P357" s="6">
        <f t="shared" si="58"/>
        <v>1046150.8921009126</v>
      </c>
    </row>
    <row r="358" spans="1:16" x14ac:dyDescent="0.2">
      <c r="A358" s="3">
        <f t="shared" si="50"/>
        <v>357</v>
      </c>
      <c r="B358" s="6">
        <f t="shared" si="59"/>
        <v>837964.25246643974</v>
      </c>
      <c r="C358" s="9">
        <f t="shared" si="55"/>
        <v>208742.2154379797</v>
      </c>
      <c r="D358" s="9">
        <f t="shared" si="56"/>
        <v>208707.10623355911</v>
      </c>
      <c r="E358" s="9">
        <f t="shared" si="51"/>
        <v>35.109204420582152</v>
      </c>
      <c r="F358" s="9" t="b">
        <v>0</v>
      </c>
      <c r="G358" s="24" t="str">
        <f t="shared" si="57"/>
        <v/>
      </c>
      <c r="H358" s="9"/>
      <c r="M358" s="9">
        <f t="shared" si="52"/>
        <v>210802.01686472524</v>
      </c>
      <c r="N358" s="9">
        <f t="shared" si="53"/>
        <v>208707.10623355911</v>
      </c>
      <c r="O358" s="9">
        <f t="shared" si="54"/>
        <v>35.109204420582152</v>
      </c>
      <c r="P358" s="6">
        <f t="shared" si="58"/>
        <v>837964.25246643974</v>
      </c>
    </row>
    <row r="359" spans="1:16" x14ac:dyDescent="0.2">
      <c r="A359" s="3">
        <f t="shared" si="50"/>
        <v>358</v>
      </c>
      <c r="B359" s="6">
        <f t="shared" si="59"/>
        <v>629257.14623288065</v>
      </c>
      <c r="C359" s="9">
        <f t="shared" si="55"/>
        <v>209248.67222694727</v>
      </c>
      <c r="D359" s="9">
        <f t="shared" si="56"/>
        <v>209228.87399914302</v>
      </c>
      <c r="E359" s="9">
        <f t="shared" si="51"/>
        <v>19.798227804257589</v>
      </c>
      <c r="F359" s="9" t="b">
        <v>0</v>
      </c>
      <c r="G359" s="24" t="str">
        <f t="shared" si="57"/>
        <v/>
      </c>
      <c r="H359" s="9"/>
      <c r="M359" s="9">
        <f t="shared" si="52"/>
        <v>210802.01686472524</v>
      </c>
      <c r="N359" s="9">
        <f t="shared" si="53"/>
        <v>209228.87399914302</v>
      </c>
      <c r="O359" s="9">
        <f t="shared" si="54"/>
        <v>19.798227804257589</v>
      </c>
      <c r="P359" s="6">
        <f t="shared" si="58"/>
        <v>629257.14623288065</v>
      </c>
    </row>
    <row r="360" spans="1:16" x14ac:dyDescent="0.2">
      <c r="A360" s="3">
        <f t="shared" si="50"/>
        <v>359</v>
      </c>
      <c r="B360" s="6">
        <f t="shared" si="59"/>
        <v>420028.27223373763</v>
      </c>
      <c r="C360" s="9">
        <f t="shared" si="55"/>
        <v>209760.76737161467</v>
      </c>
      <c r="D360" s="9">
        <f t="shared" si="56"/>
        <v>209751.94618414089</v>
      </c>
      <c r="E360" s="9">
        <f t="shared" si="51"/>
        <v>8.8211874737830342</v>
      </c>
      <c r="F360" s="9" t="b">
        <v>0</v>
      </c>
      <c r="G360" s="24" t="str">
        <f t="shared" si="57"/>
        <v/>
      </c>
      <c r="H360" s="9"/>
      <c r="M360" s="9">
        <f t="shared" si="52"/>
        <v>210802.01686472524</v>
      </c>
      <c r="N360" s="9">
        <f t="shared" si="53"/>
        <v>209751.94618414089</v>
      </c>
      <c r="O360" s="9">
        <f t="shared" si="54"/>
        <v>8.8211874737830342</v>
      </c>
      <c r="P360" s="6">
        <f t="shared" si="58"/>
        <v>420028.27223373763</v>
      </c>
    </row>
    <row r="361" spans="1:16" x14ac:dyDescent="0.2">
      <c r="A361" s="3">
        <f t="shared" si="50"/>
        <v>360</v>
      </c>
      <c r="B361" s="6">
        <f t="shared" si="59"/>
        <v>210276.32604959674</v>
      </c>
      <c r="C361" s="9">
        <f t="shared" si="55"/>
        <v>210278.53685626609</v>
      </c>
      <c r="D361" s="9">
        <f t="shared" si="56"/>
        <v>210276.32604960125</v>
      </c>
      <c r="E361" s="9">
        <f t="shared" si="51"/>
        <v>2.2108066648458631</v>
      </c>
      <c r="F361" s="9" t="b">
        <v>0</v>
      </c>
      <c r="G361" s="24" t="str">
        <f t="shared" si="57"/>
        <v/>
      </c>
      <c r="H361" s="9"/>
      <c r="M361" s="9">
        <f t="shared" si="52"/>
        <v>210802.01686472524</v>
      </c>
      <c r="N361" s="9">
        <f t="shared" si="53"/>
        <v>210276.32604960125</v>
      </c>
      <c r="O361" s="9">
        <f t="shared" si="54"/>
        <v>2.2108066648458631</v>
      </c>
      <c r="P361" s="6">
        <f t="shared" si="58"/>
        <v>210276.32604959674</v>
      </c>
    </row>
    <row r="362" spans="1:16" x14ac:dyDescent="0.2">
      <c r="D362" s="9"/>
      <c r="E362" s="9"/>
      <c r="N362" s="9"/>
    </row>
  </sheetData>
  <conditionalFormatting sqref="E1 H6:H1048576 H1 B1:C1048576 F1:F1048576">
    <cfRule type="cellIs" dxfId="7" priority="10" operator="equal">
      <formula>0</formula>
    </cfRule>
  </conditionalFormatting>
  <conditionalFormatting sqref="F2:F361">
    <cfRule type="cellIs" dxfId="6" priority="7" operator="equal">
      <formula>TRUE</formula>
    </cfRule>
    <cfRule type="cellIs" dxfId="5" priority="9" operator="equal">
      <formula>FALSE</formula>
    </cfRule>
  </conditionalFormatting>
  <conditionalFormatting sqref="F101:F361">
    <cfRule type="cellIs" dxfId="4" priority="8" operator="equal">
      <formula>TRUE</formula>
    </cfRule>
  </conditionalFormatting>
  <conditionalFormatting sqref="G1">
    <cfRule type="cellIs" dxfId="3" priority="6" operator="equal">
      <formula>0</formula>
    </cfRule>
  </conditionalFormatting>
  <conditionalFormatting sqref="O1">
    <cfRule type="cellIs" dxfId="2" priority="5" operator="equal">
      <formula>0</formula>
    </cfRule>
  </conditionalFormatting>
  <conditionalFormatting sqref="M1:M1048576">
    <cfRule type="cellIs" dxfId="1" priority="4" operator="equal">
      <formula>0</formula>
    </cfRule>
  </conditionalFormatting>
  <conditionalFormatting sqref="P1">
    <cfRule type="cellIs" dxfId="0" priority="2" operator="equal">
      <formula>0</formula>
    </cfRule>
  </conditionalFormatting>
  <dataValidations count="1">
    <dataValidation type="list" showInputMessage="1" showErrorMessage="1" sqref="F2:F361" xr:uid="{00000000-0002-0000-0100-000000000000}">
      <formula1>$L$2:$L$3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MBS Pool CF</vt:lpstr>
      <vt:lpstr>Individual Mortgage CF</vt:lpstr>
    </vt:vector>
  </TitlesOfParts>
  <Company>USFS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Tran</dc:creator>
  <cp:lastModifiedBy>Microsoft Office User</cp:lastModifiedBy>
  <dcterms:created xsi:type="dcterms:W3CDTF">2021-07-09T16:14:22Z</dcterms:created>
  <dcterms:modified xsi:type="dcterms:W3CDTF">2021-09-07T14:59:31Z</dcterms:modified>
</cp:coreProperties>
</file>